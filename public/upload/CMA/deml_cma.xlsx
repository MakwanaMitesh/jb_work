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8990" activeTab="2"/>
  </bookViews>
  <sheets>
    <sheet name="Title" sheetId="1" r:id="rId1"/>
    <sheet name="Sheet1" sheetId="11" r:id="rId2"/>
    <sheet name="profile" sheetId="2" r:id="rId3"/>
    <sheet name="fund " sheetId="3" r:id="rId4"/>
    <sheet name="Production" sheetId="17" r:id="rId5"/>
    <sheet name="INCOME" sheetId="18" r:id="rId6"/>
    <sheet name="trading " sheetId="4" r:id="rId7"/>
    <sheet name="pnl" sheetId="5" r:id="rId8"/>
    <sheet name="bs" sheetId="6" r:id="rId9"/>
    <sheet name="FA" sheetId="7" r:id="rId10"/>
    <sheet name="DSCR" sheetId="8" r:id="rId11"/>
    <sheet name="Ratio" sheetId="9" r:id="rId12"/>
    <sheet name="repayment " sheetId="10" r:id="rId13"/>
    <sheet name="all ratio" sheetId="16" r:id="rId1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6" l="1"/>
  <c r="H17" i="6"/>
  <c r="G17" i="6"/>
  <c r="F17" i="6"/>
  <c r="E17" i="6"/>
  <c r="D17" i="6"/>
  <c r="C17" i="6"/>
  <c r="E18" i="6"/>
  <c r="I31" i="5"/>
  <c r="H31" i="5"/>
  <c r="H18" i="4"/>
  <c r="H26" i="5"/>
  <c r="G26" i="5"/>
  <c r="I26" i="5" s="1"/>
  <c r="F26" i="5"/>
  <c r="E26" i="5"/>
  <c r="D26" i="5"/>
  <c r="F17" i="10"/>
  <c r="E17" i="10"/>
  <c r="D17" i="10"/>
  <c r="C17" i="10"/>
  <c r="C10" i="10"/>
  <c r="E18" i="4"/>
  <c r="D10" i="10" l="1"/>
  <c r="E10" i="10" s="1"/>
  <c r="F10" i="10"/>
  <c r="G28" i="3"/>
  <c r="E19" i="17"/>
  <c r="G31" i="3"/>
  <c r="C74" i="9" l="1"/>
  <c r="D21" i="4" l="1"/>
  <c r="C11" i="18"/>
  <c r="D30" i="6" l="1"/>
  <c r="E30" i="6" s="1"/>
  <c r="D11" i="18"/>
  <c r="C15" i="18"/>
  <c r="E23" i="17"/>
  <c r="B14" i="18" s="1"/>
  <c r="B16" i="18" s="1"/>
  <c r="D23" i="17"/>
  <c r="D15" i="18" l="1"/>
  <c r="H11" i="18"/>
  <c r="F11" i="18"/>
  <c r="E24" i="17"/>
  <c r="D24" i="17"/>
  <c r="C10" i="18" s="1"/>
  <c r="B10" i="18"/>
  <c r="B12" i="18" s="1"/>
  <c r="B19" i="18" s="1"/>
  <c r="C12" i="4" s="1"/>
  <c r="F15" i="18"/>
  <c r="D27" i="5"/>
  <c r="F23" i="10"/>
  <c r="C21" i="5" s="1"/>
  <c r="D21" i="5" s="1"/>
  <c r="E21" i="5" s="1"/>
  <c r="F21" i="5" s="1"/>
  <c r="G21" i="5" s="1"/>
  <c r="H21" i="5" s="1"/>
  <c r="I21" i="5" s="1"/>
  <c r="B11" i="10"/>
  <c r="B12" i="10" l="1"/>
  <c r="B13" i="10" s="1"/>
  <c r="B14" i="10" s="1"/>
  <c r="B15" i="10" s="1"/>
  <c r="C11" i="10"/>
  <c r="D11" i="10"/>
  <c r="D20" i="5" s="1"/>
  <c r="C14" i="18"/>
  <c r="C16" i="18" s="1"/>
  <c r="E25" i="17"/>
  <c r="C20" i="5"/>
  <c r="C17" i="8"/>
  <c r="F11" i="10"/>
  <c r="D74" i="9" l="1"/>
  <c r="C13" i="10"/>
  <c r="F74" i="9" s="1"/>
  <c r="C12" i="10"/>
  <c r="E11" i="10"/>
  <c r="C14" i="10"/>
  <c r="G74" i="9" s="1"/>
  <c r="D12" i="10"/>
  <c r="E20" i="5" s="1"/>
  <c r="E26" i="17"/>
  <c r="D14" i="18"/>
  <c r="D16" i="18" s="1"/>
  <c r="H15" i="18"/>
  <c r="C15" i="10"/>
  <c r="H74" i="9" s="1"/>
  <c r="B16" i="10"/>
  <c r="F12" i="10"/>
  <c r="E74" i="9" l="1"/>
  <c r="C16" i="10"/>
  <c r="B17" i="10"/>
  <c r="E12" i="10"/>
  <c r="D13" i="10"/>
  <c r="F20" i="5" s="1"/>
  <c r="F13" i="10"/>
  <c r="E27" i="17"/>
  <c r="E28" i="17" s="1"/>
  <c r="E29" i="17" s="1"/>
  <c r="E14" i="18"/>
  <c r="E16" i="18" s="1"/>
  <c r="I74" i="9" l="1"/>
  <c r="E13" i="10"/>
  <c r="F14" i="10"/>
  <c r="D14" i="10"/>
  <c r="G20" i="5" s="1"/>
  <c r="F14" i="18"/>
  <c r="F16" i="18" s="1"/>
  <c r="F15" i="10" l="1"/>
  <c r="E14" i="10"/>
  <c r="D15" i="10"/>
  <c r="H20" i="5" s="1"/>
  <c r="H14" i="18"/>
  <c r="H16" i="18" s="1"/>
  <c r="G14" i="18"/>
  <c r="G16" i="18" s="1"/>
  <c r="F16" i="10" l="1"/>
  <c r="D16" i="10"/>
  <c r="I20" i="5" s="1"/>
  <c r="E15" i="10"/>
  <c r="E16" i="10" l="1"/>
  <c r="F18" i="6"/>
  <c r="G18" i="6" s="1"/>
  <c r="H18" i="6" s="1"/>
  <c r="I18" i="6" s="1"/>
  <c r="G18" i="4"/>
  <c r="A24" i="17"/>
  <c r="A25" i="17" s="1"/>
  <c r="A26" i="17" s="1"/>
  <c r="A27" i="17" s="1"/>
  <c r="A28" i="17" s="1"/>
  <c r="A29" i="17" s="1"/>
  <c r="D25" i="17"/>
  <c r="D26" i="17" s="1"/>
  <c r="I18" i="4" l="1"/>
  <c r="D27" i="17"/>
  <c r="D28" i="17" s="1"/>
  <c r="D29" i="17" s="1"/>
  <c r="H10" i="18" s="1"/>
  <c r="C12" i="18"/>
  <c r="E10" i="18"/>
  <c r="E12" i="18" s="1"/>
  <c r="E19" i="18" s="1"/>
  <c r="F12" i="4" s="1"/>
  <c r="D10" i="18"/>
  <c r="D12" i="18" s="1"/>
  <c r="G37" i="3"/>
  <c r="D10" i="9"/>
  <c r="E10" i="9" s="1"/>
  <c r="F10" i="9" s="1"/>
  <c r="G10" i="9" s="1"/>
  <c r="H10" i="9" s="1"/>
  <c r="I10" i="9" s="1"/>
  <c r="D30" i="8"/>
  <c r="E30" i="8" s="1"/>
  <c r="F30" i="8" s="1"/>
  <c r="G30" i="8" s="1"/>
  <c r="H30" i="8" s="1"/>
  <c r="I30" i="8" s="1"/>
  <c r="D9" i="8"/>
  <c r="E9" i="8" s="1"/>
  <c r="F9" i="8" s="1"/>
  <c r="G9" i="8" s="1"/>
  <c r="H9" i="8" s="1"/>
  <c r="I9" i="8" s="1"/>
  <c r="D9" i="6"/>
  <c r="E9" i="6" s="1"/>
  <c r="F9" i="6" s="1"/>
  <c r="G9" i="6" s="1"/>
  <c r="H9" i="6" s="1"/>
  <c r="I9" i="6" s="1"/>
  <c r="D9" i="5"/>
  <c r="E9" i="5" s="1"/>
  <c r="F9" i="5" s="1"/>
  <c r="G9" i="5" s="1"/>
  <c r="H9" i="5" s="1"/>
  <c r="I9" i="5" s="1"/>
  <c r="D9" i="4"/>
  <c r="E9" i="4" s="1"/>
  <c r="F9" i="4" s="1"/>
  <c r="G9" i="4" s="1"/>
  <c r="H9" i="4" s="1"/>
  <c r="I9" i="4" s="1"/>
  <c r="G10" i="18" l="1"/>
  <c r="F10" i="18"/>
  <c r="F12" i="18" s="1"/>
  <c r="F19" i="18" s="1"/>
  <c r="D19" i="18"/>
  <c r="E12" i="4" s="1"/>
  <c r="C19" i="18"/>
  <c r="D12" i="4" s="1"/>
  <c r="D21" i="6"/>
  <c r="D13" i="6"/>
  <c r="E13" i="6" s="1"/>
  <c r="F13" i="6" s="1"/>
  <c r="G13" i="6" s="1"/>
  <c r="H13" i="6" s="1"/>
  <c r="I13" i="6" s="1"/>
  <c r="G12" i="4" l="1"/>
  <c r="H12" i="18"/>
  <c r="H19" i="18" s="1"/>
  <c r="G12" i="18"/>
  <c r="G19" i="18" s="1"/>
  <c r="D35" i="6"/>
  <c r="E35" i="6" s="1"/>
  <c r="F35" i="6" s="1"/>
  <c r="G35" i="6" s="1"/>
  <c r="D34" i="6"/>
  <c r="E34" i="6" s="1"/>
  <c r="F34" i="6" s="1"/>
  <c r="G34" i="6" s="1"/>
  <c r="E21" i="6"/>
  <c r="F21" i="6" s="1"/>
  <c r="G21" i="6" s="1"/>
  <c r="H21" i="6" s="1"/>
  <c r="I21" i="6" s="1"/>
  <c r="E27" i="5"/>
  <c r="F27" i="5" s="1"/>
  <c r="G27" i="5" s="1"/>
  <c r="H27" i="5" s="1"/>
  <c r="I27" i="5" s="1"/>
  <c r="D24" i="5"/>
  <c r="E24" i="5" s="1"/>
  <c r="F24" i="5" s="1"/>
  <c r="G24" i="5" s="1"/>
  <c r="H24" i="5" s="1"/>
  <c r="I24" i="5" s="1"/>
  <c r="D23" i="5"/>
  <c r="E23" i="5" s="1"/>
  <c r="D22" i="5"/>
  <c r="E22" i="5" s="1"/>
  <c r="F22" i="5" s="1"/>
  <c r="G22" i="5" s="1"/>
  <c r="H22" i="5" s="1"/>
  <c r="I22" i="5" s="1"/>
  <c r="D19" i="5"/>
  <c r="E19" i="5" s="1"/>
  <c r="F19" i="5" s="1"/>
  <c r="G19" i="5" s="1"/>
  <c r="H19" i="5" s="1"/>
  <c r="I19" i="5" s="1"/>
  <c r="D18" i="5"/>
  <c r="E18" i="5" s="1"/>
  <c r="F18" i="5" s="1"/>
  <c r="G18" i="5" s="1"/>
  <c r="H18" i="5" s="1"/>
  <c r="I18" i="5" s="1"/>
  <c r="D17" i="5"/>
  <c r="E17" i="5" s="1"/>
  <c r="F17" i="5" s="1"/>
  <c r="G17" i="5" s="1"/>
  <c r="H17" i="5" s="1"/>
  <c r="I17" i="5" s="1"/>
  <c r="D26" i="4"/>
  <c r="E26" i="4" s="1"/>
  <c r="F26" i="4" s="1"/>
  <c r="G26" i="4" s="1"/>
  <c r="D23" i="4"/>
  <c r="E23" i="4" s="1"/>
  <c r="F23" i="4" s="1"/>
  <c r="G23" i="4" s="1"/>
  <c r="H23" i="4" s="1"/>
  <c r="I23" i="4" s="1"/>
  <c r="D22" i="4"/>
  <c r="E22" i="4" s="1"/>
  <c r="F22" i="4" s="1"/>
  <c r="G22" i="4" s="1"/>
  <c r="H22" i="4" s="1"/>
  <c r="I22" i="4" s="1"/>
  <c r="E21" i="4"/>
  <c r="F21" i="4" s="1"/>
  <c r="G21" i="4" s="1"/>
  <c r="H21" i="4" s="1"/>
  <c r="I21" i="4" s="1"/>
  <c r="F23" i="5" l="1"/>
  <c r="G23" i="5" s="1"/>
  <c r="H23" i="5" s="1"/>
  <c r="I23" i="5" s="1"/>
  <c r="H34" i="6"/>
  <c r="I34" i="6" s="1"/>
  <c r="H16" i="4"/>
  <c r="H24" i="4" s="1"/>
  <c r="H26" i="4"/>
  <c r="H35" i="6"/>
  <c r="I35" i="6" s="1"/>
  <c r="I12" i="4"/>
  <c r="D67" i="9"/>
  <c r="D16" i="4"/>
  <c r="R29" i="16" s="1"/>
  <c r="D12" i="8"/>
  <c r="D16" i="8" s="1"/>
  <c r="I12" i="8"/>
  <c r="I16" i="8" s="1"/>
  <c r="C67" i="9"/>
  <c r="C61" i="9"/>
  <c r="C68" i="9" s="1"/>
  <c r="C38" i="9"/>
  <c r="C42" i="9" s="1"/>
  <c r="C30" i="9"/>
  <c r="C28" i="9"/>
  <c r="C26" i="9"/>
  <c r="C18" i="9"/>
  <c r="C72" i="9" s="1"/>
  <c r="C14" i="9"/>
  <c r="C34" i="8"/>
  <c r="I17" i="8"/>
  <c r="H17" i="8"/>
  <c r="G17" i="8"/>
  <c r="F17" i="8"/>
  <c r="E17" i="8"/>
  <c r="D17" i="8"/>
  <c r="D21" i="7"/>
  <c r="D12" i="7"/>
  <c r="F11" i="7"/>
  <c r="G11" i="7" s="1"/>
  <c r="H11" i="7" s="1"/>
  <c r="C20" i="7" s="1"/>
  <c r="F10" i="7"/>
  <c r="G10" i="7" s="1"/>
  <c r="H10" i="7" s="1"/>
  <c r="F9" i="7"/>
  <c r="C33" i="6"/>
  <c r="D14" i="9"/>
  <c r="E19" i="9"/>
  <c r="D19" i="9"/>
  <c r="C32" i="8"/>
  <c r="H12" i="8"/>
  <c r="H16" i="8" s="1"/>
  <c r="G12" i="8"/>
  <c r="G16" i="8" s="1"/>
  <c r="F12" i="8"/>
  <c r="F16" i="8" s="1"/>
  <c r="E12" i="8"/>
  <c r="E16" i="8" s="1"/>
  <c r="C12" i="8"/>
  <c r="C16" i="8" s="1"/>
  <c r="C24" i="4"/>
  <c r="C29" i="9" s="1"/>
  <c r="C13" i="4"/>
  <c r="G34" i="3"/>
  <c r="G38" i="3" s="1"/>
  <c r="G39" i="3" s="1"/>
  <c r="G12" i="3"/>
  <c r="C37" i="8" l="1"/>
  <c r="G47" i="3"/>
  <c r="G42" i="3" s="1"/>
  <c r="I26" i="4"/>
  <c r="I16" i="4"/>
  <c r="I24" i="4" s="1"/>
  <c r="H28" i="4"/>
  <c r="H12" i="4"/>
  <c r="H13" i="4" s="1"/>
  <c r="E16" i="4"/>
  <c r="E24" i="4" s="1"/>
  <c r="D38" i="9"/>
  <c r="D42" i="9" s="1"/>
  <c r="D43" i="9" s="1"/>
  <c r="H19" i="8"/>
  <c r="F20" i="7"/>
  <c r="G20" i="7" s="1"/>
  <c r="H20" i="7" s="1"/>
  <c r="C29" i="7" s="1"/>
  <c r="F29" i="7" s="1"/>
  <c r="G29" i="7" s="1"/>
  <c r="H29" i="7" s="1"/>
  <c r="C43" i="7" s="1"/>
  <c r="F43" i="7" s="1"/>
  <c r="G43" i="7" s="1"/>
  <c r="H43" i="7" s="1"/>
  <c r="C53" i="7" s="1"/>
  <c r="F53" i="7" s="1"/>
  <c r="G53" i="7" s="1"/>
  <c r="C19" i="7"/>
  <c r="F19" i="7" s="1"/>
  <c r="F26" i="9"/>
  <c r="D18" i="9"/>
  <c r="D72" i="9" s="1"/>
  <c r="E18" i="9"/>
  <c r="E72" i="9" s="1"/>
  <c r="E75" i="9" s="1"/>
  <c r="F18" i="9"/>
  <c r="F72" i="9" s="1"/>
  <c r="F32" i="8"/>
  <c r="D30" i="9"/>
  <c r="D61" i="9"/>
  <c r="D68" i="9" s="1"/>
  <c r="D33" i="6"/>
  <c r="F38" i="9"/>
  <c r="F42" i="9" s="1"/>
  <c r="F13" i="4"/>
  <c r="E19" i="8"/>
  <c r="I19" i="8"/>
  <c r="D13" i="4"/>
  <c r="L31" i="16" s="1"/>
  <c r="E26" i="9"/>
  <c r="C28" i="4"/>
  <c r="C62" i="9" s="1"/>
  <c r="D26" i="9"/>
  <c r="E28" i="9"/>
  <c r="F12" i="7"/>
  <c r="C25" i="6" s="1"/>
  <c r="C13" i="9" s="1"/>
  <c r="G9" i="7"/>
  <c r="G12" i="7" s="1"/>
  <c r="G32" i="8"/>
  <c r="G19" i="9"/>
  <c r="D24" i="4"/>
  <c r="D19" i="8"/>
  <c r="D28" i="9"/>
  <c r="C19" i="8"/>
  <c r="C31" i="9"/>
  <c r="C33" i="9" s="1"/>
  <c r="C34" i="9" s="1"/>
  <c r="C19" i="9"/>
  <c r="C73" i="9" s="1"/>
  <c r="C75" i="9" s="1"/>
  <c r="G19" i="8"/>
  <c r="F19" i="8"/>
  <c r="E73" i="9"/>
  <c r="E32" i="8"/>
  <c r="D32" i="8"/>
  <c r="I19" i="9"/>
  <c r="I73" i="9" s="1"/>
  <c r="H19" i="9"/>
  <c r="F19" i="9"/>
  <c r="D73" i="9"/>
  <c r="H30" i="4" l="1"/>
  <c r="I28" i="4"/>
  <c r="D75" i="9"/>
  <c r="N30" i="16"/>
  <c r="E67" i="9"/>
  <c r="F67" i="9"/>
  <c r="G19" i="7"/>
  <c r="H19" i="7" s="1"/>
  <c r="C28" i="7" s="1"/>
  <c r="F28" i="7" s="1"/>
  <c r="G28" i="7" s="1"/>
  <c r="H28" i="7" s="1"/>
  <c r="C42" i="7" s="1"/>
  <c r="F42" i="7" s="1"/>
  <c r="G42" i="7" s="1"/>
  <c r="H42" i="7" s="1"/>
  <c r="C52" i="7" s="1"/>
  <c r="F52" i="7" s="1"/>
  <c r="G52" i="7" s="1"/>
  <c r="H52" i="7" s="1"/>
  <c r="G67" i="9"/>
  <c r="H53" i="7"/>
  <c r="E33" i="6"/>
  <c r="E61" i="9"/>
  <c r="E68" i="9" s="1"/>
  <c r="F16" i="4"/>
  <c r="E30" i="9"/>
  <c r="S29" i="16"/>
  <c r="L15" i="16"/>
  <c r="N16" i="16"/>
  <c r="L13" i="16"/>
  <c r="N31" i="16"/>
  <c r="N14" i="16"/>
  <c r="D21" i="9"/>
  <c r="E21" i="9"/>
  <c r="G18" i="9"/>
  <c r="G72" i="9" s="1"/>
  <c r="C26" i="6"/>
  <c r="G26" i="9"/>
  <c r="E38" i="9"/>
  <c r="E42" i="9" s="1"/>
  <c r="E43" i="9" s="1"/>
  <c r="L14" i="16"/>
  <c r="L16" i="16"/>
  <c r="E13" i="4"/>
  <c r="M31" i="16" s="1"/>
  <c r="L30" i="16"/>
  <c r="G73" i="9"/>
  <c r="C21" i="9"/>
  <c r="C30" i="4"/>
  <c r="C11" i="5" s="1"/>
  <c r="C13" i="5" s="1"/>
  <c r="E28" i="4"/>
  <c r="E29" i="9"/>
  <c r="D28" i="4"/>
  <c r="D29" i="9"/>
  <c r="D31" i="9" s="1"/>
  <c r="D33" i="9" s="1"/>
  <c r="D34" i="9" s="1"/>
  <c r="D8" i="16" s="1"/>
  <c r="E14" i="9"/>
  <c r="N15" i="16"/>
  <c r="H9" i="7"/>
  <c r="H12" i="7" s="1"/>
  <c r="H73" i="9"/>
  <c r="F21" i="9"/>
  <c r="F73" i="9"/>
  <c r="F75" i="9" s="1"/>
  <c r="G75" i="9" l="1"/>
  <c r="C18" i="7"/>
  <c r="C75" i="7"/>
  <c r="F75" i="7" s="1"/>
  <c r="G75" i="7" s="1"/>
  <c r="H75" i="7" s="1"/>
  <c r="C74" i="7"/>
  <c r="F74" i="7" s="1"/>
  <c r="G74" i="7" s="1"/>
  <c r="H74" i="7" s="1"/>
  <c r="M30" i="16"/>
  <c r="H67" i="9"/>
  <c r="I67" i="9"/>
  <c r="G16" i="4"/>
  <c r="F33" i="6"/>
  <c r="F61" i="9"/>
  <c r="F68" i="9" s="1"/>
  <c r="F30" i="9"/>
  <c r="T29" i="16"/>
  <c r="F28" i="9"/>
  <c r="E31" i="9"/>
  <c r="E33" i="9" s="1"/>
  <c r="E34" i="9" s="1"/>
  <c r="E8" i="16" s="1"/>
  <c r="M14" i="16"/>
  <c r="G13" i="4"/>
  <c r="G38" i="9"/>
  <c r="G42" i="9" s="1"/>
  <c r="G43" i="9" s="1"/>
  <c r="M13" i="16"/>
  <c r="F18" i="7"/>
  <c r="G21" i="9"/>
  <c r="H18" i="9"/>
  <c r="H32" i="8"/>
  <c r="C25" i="5"/>
  <c r="C28" i="5" s="1"/>
  <c r="C30" i="5" s="1"/>
  <c r="C11" i="8"/>
  <c r="C27" i="6"/>
  <c r="C38" i="6" s="1"/>
  <c r="M15" i="16"/>
  <c r="M16" i="16"/>
  <c r="F43" i="9"/>
  <c r="E30" i="4"/>
  <c r="E11" i="5" s="1"/>
  <c r="E13" i="5" s="1"/>
  <c r="F14" i="9"/>
  <c r="E62" i="9"/>
  <c r="M29" i="16"/>
  <c r="D62" i="9"/>
  <c r="D30" i="4"/>
  <c r="L29" i="16"/>
  <c r="N13" i="16"/>
  <c r="F24" i="4"/>
  <c r="C85" i="7" l="1"/>
  <c r="F85" i="7" s="1"/>
  <c r="G85" i="7" s="1"/>
  <c r="H85" i="7" s="1"/>
  <c r="C84" i="7"/>
  <c r="F84" i="7" s="1"/>
  <c r="G84" i="7" s="1"/>
  <c r="H84" i="7" s="1"/>
  <c r="C21" i="7"/>
  <c r="F21" i="7" s="1"/>
  <c r="C32" i="5"/>
  <c r="C12" i="6" s="1"/>
  <c r="C14" i="6" s="1"/>
  <c r="G24" i="4"/>
  <c r="G28" i="9"/>
  <c r="U29" i="16"/>
  <c r="G61" i="9"/>
  <c r="G68" i="9" s="1"/>
  <c r="G30" i="9"/>
  <c r="G33" i="6"/>
  <c r="H26" i="9"/>
  <c r="H38" i="9"/>
  <c r="H42" i="9" s="1"/>
  <c r="H43" i="9" s="1"/>
  <c r="O16" i="16"/>
  <c r="O15" i="16"/>
  <c r="O30" i="16"/>
  <c r="O13" i="16"/>
  <c r="O14" i="16"/>
  <c r="O31" i="16"/>
  <c r="G18" i="7"/>
  <c r="G21" i="7" s="1"/>
  <c r="C15" i="9"/>
  <c r="C69" i="9" s="1"/>
  <c r="C70" i="9" s="1"/>
  <c r="C78" i="9" s="1"/>
  <c r="H72" i="9"/>
  <c r="H75" i="9" s="1"/>
  <c r="H21" i="9"/>
  <c r="I18" i="9"/>
  <c r="I32" i="8"/>
  <c r="F29" i="9"/>
  <c r="F31" i="9" s="1"/>
  <c r="F33" i="9" s="1"/>
  <c r="F34" i="9" s="1"/>
  <c r="F8" i="16" s="1"/>
  <c r="F28" i="4"/>
  <c r="G14" i="9"/>
  <c r="D11" i="5"/>
  <c r="D13" i="5" s="1"/>
  <c r="D11" i="6" l="1"/>
  <c r="D34" i="8" s="1"/>
  <c r="D37" i="8" s="1"/>
  <c r="C22" i="6"/>
  <c r="C39" i="6" s="1"/>
  <c r="D25" i="6"/>
  <c r="D13" i="9" s="1"/>
  <c r="L27" i="16" s="1"/>
  <c r="D26" i="6"/>
  <c r="H18" i="7"/>
  <c r="H21" i="7" s="1"/>
  <c r="C37" i="9"/>
  <c r="C39" i="9" s="1"/>
  <c r="C34" i="5" s="1"/>
  <c r="C10" i="8"/>
  <c r="C14" i="8" s="1"/>
  <c r="C24" i="8" s="1"/>
  <c r="H33" i="6"/>
  <c r="H61" i="9"/>
  <c r="H68" i="9" s="1"/>
  <c r="H30" i="9"/>
  <c r="V29" i="16"/>
  <c r="H28" i="9"/>
  <c r="G29" i="9"/>
  <c r="G31" i="9" s="1"/>
  <c r="G33" i="9" s="1"/>
  <c r="G34" i="9" s="1"/>
  <c r="G8" i="16" s="1"/>
  <c r="G28" i="4"/>
  <c r="I26" i="9"/>
  <c r="I38" i="9"/>
  <c r="I42" i="9" s="1"/>
  <c r="I43" i="9" s="1"/>
  <c r="I13" i="4"/>
  <c r="I30" i="4" s="1"/>
  <c r="P16" i="16"/>
  <c r="P30" i="16"/>
  <c r="P13" i="16"/>
  <c r="P14" i="16"/>
  <c r="P31" i="16"/>
  <c r="P15" i="16"/>
  <c r="C16" i="9"/>
  <c r="C23" i="9" s="1"/>
  <c r="C77" i="9"/>
  <c r="I72" i="9"/>
  <c r="I75" i="9" s="1"/>
  <c r="I21" i="9"/>
  <c r="F62" i="9"/>
  <c r="F30" i="4"/>
  <c r="N29" i="16"/>
  <c r="H14" i="9"/>
  <c r="L40" i="16" l="1"/>
  <c r="C27" i="7"/>
  <c r="F27" i="7" s="1"/>
  <c r="G27" i="7" s="1"/>
  <c r="G30" i="7" s="1"/>
  <c r="C30" i="7"/>
  <c r="F30" i="7" s="1"/>
  <c r="E25" i="6" s="1"/>
  <c r="E13" i="9" s="1"/>
  <c r="D27" i="6"/>
  <c r="D38" i="6" s="1"/>
  <c r="L43" i="16"/>
  <c r="D11" i="8"/>
  <c r="D25" i="5"/>
  <c r="D28" i="5" s="1"/>
  <c r="L11" i="16" s="1"/>
  <c r="I33" i="6"/>
  <c r="I30" i="9"/>
  <c r="I61" i="9"/>
  <c r="I68" i="9" s="1"/>
  <c r="G62" i="9"/>
  <c r="O29" i="16"/>
  <c r="G30" i="4"/>
  <c r="H29" i="9"/>
  <c r="H31" i="9" s="1"/>
  <c r="H33" i="9" s="1"/>
  <c r="H34" i="9" s="1"/>
  <c r="H8" i="16" s="1"/>
  <c r="I28" i="9"/>
  <c r="I14" i="9"/>
  <c r="F11" i="5"/>
  <c r="F13" i="5" s="1"/>
  <c r="H27" i="7" l="1"/>
  <c r="H30" i="7" s="1"/>
  <c r="L44" i="16"/>
  <c r="D15" i="9"/>
  <c r="D16" i="9" s="1"/>
  <c r="D23" i="9" s="1"/>
  <c r="E26" i="6"/>
  <c r="D30" i="5"/>
  <c r="L41" i="16" s="1"/>
  <c r="L10" i="16"/>
  <c r="P29" i="16"/>
  <c r="H62" i="9"/>
  <c r="G11" i="5"/>
  <c r="G13" i="5" s="1"/>
  <c r="I29" i="9"/>
  <c r="I31" i="9" s="1"/>
  <c r="I33" i="9" s="1"/>
  <c r="I34" i="9" s="1"/>
  <c r="C44" i="7"/>
  <c r="F44" i="7" s="1"/>
  <c r="F25" i="6" s="1"/>
  <c r="C41" i="7"/>
  <c r="F41" i="7" s="1"/>
  <c r="M27" i="16"/>
  <c r="M43" i="16"/>
  <c r="L42" i="16" l="1"/>
  <c r="D69" i="9"/>
  <c r="D70" i="9" s="1"/>
  <c r="D77" i="9" s="1"/>
  <c r="E25" i="5"/>
  <c r="E28" i="5" s="1"/>
  <c r="E30" i="5" s="1"/>
  <c r="E27" i="6"/>
  <c r="E38" i="6" s="1"/>
  <c r="E11" i="8"/>
  <c r="L21" i="16"/>
  <c r="D32" i="5"/>
  <c r="D12" i="6" s="1"/>
  <c r="D14" i="6" s="1"/>
  <c r="D22" i="6" s="1"/>
  <c r="D39" i="6" s="1"/>
  <c r="I11" i="5"/>
  <c r="I13" i="5" s="1"/>
  <c r="I62" i="9"/>
  <c r="H11" i="5"/>
  <c r="H13" i="5" s="1"/>
  <c r="G41" i="7"/>
  <c r="G44" i="7" s="1"/>
  <c r="F26" i="6" s="1"/>
  <c r="F27" i="6" s="1"/>
  <c r="F13" i="9"/>
  <c r="E15" i="9" l="1"/>
  <c r="E69" i="9" s="1"/>
  <c r="E70" i="9" s="1"/>
  <c r="M36" i="16" s="1"/>
  <c r="L36" i="16"/>
  <c r="D78" i="9"/>
  <c r="D35" i="16" s="1"/>
  <c r="L28" i="16"/>
  <c r="M10" i="16"/>
  <c r="M11" i="16"/>
  <c r="H41" i="7"/>
  <c r="H44" i="7" s="1"/>
  <c r="D10" i="8"/>
  <c r="D14" i="8" s="1"/>
  <c r="D24" i="8" s="1"/>
  <c r="E11" i="6"/>
  <c r="D37" i="9"/>
  <c r="D39" i="9" s="1"/>
  <c r="E32" i="5"/>
  <c r="M41" i="16"/>
  <c r="M21" i="16"/>
  <c r="N43" i="16"/>
  <c r="N27" i="16"/>
  <c r="C54" i="7" l="1"/>
  <c r="F54" i="7" s="1"/>
  <c r="E77" i="9"/>
  <c r="E16" i="9"/>
  <c r="E23" i="9" s="1"/>
  <c r="M28" i="16"/>
  <c r="E78" i="9"/>
  <c r="E35" i="16" s="1"/>
  <c r="F38" i="6"/>
  <c r="C51" i="7"/>
  <c r="F51" i="7" s="1"/>
  <c r="G51" i="7" s="1"/>
  <c r="G54" i="7" s="1"/>
  <c r="F11" i="8"/>
  <c r="F25" i="5"/>
  <c r="F28" i="5" s="1"/>
  <c r="N10" i="16" s="1"/>
  <c r="D34" i="5"/>
  <c r="D9" i="16"/>
  <c r="M40" i="16"/>
  <c r="M44" i="16"/>
  <c r="E34" i="8"/>
  <c r="E37" i="8" s="1"/>
  <c r="E37" i="9"/>
  <c r="E39" i="9" s="1"/>
  <c r="E10" i="8"/>
  <c r="E14" i="8" s="1"/>
  <c r="E24" i="8" s="1"/>
  <c r="E12" i="6"/>
  <c r="E14" i="6" s="1"/>
  <c r="E22" i="6" s="1"/>
  <c r="E39" i="6" s="1"/>
  <c r="G25" i="6" l="1"/>
  <c r="G13" i="9" s="1"/>
  <c r="M42" i="16"/>
  <c r="F15" i="9"/>
  <c r="F16" i="9" s="1"/>
  <c r="F23" i="9" s="1"/>
  <c r="F30" i="5"/>
  <c r="G26" i="6"/>
  <c r="H51" i="7"/>
  <c r="H54" i="7" s="1"/>
  <c r="N11" i="16"/>
  <c r="F11" i="6"/>
  <c r="E9" i="16"/>
  <c r="E34" i="5"/>
  <c r="N21" i="16" l="1"/>
  <c r="F32" i="5"/>
  <c r="F37" i="9" s="1"/>
  <c r="F39" i="9" s="1"/>
  <c r="O27" i="16"/>
  <c r="O43" i="16"/>
  <c r="G27" i="6"/>
  <c r="G25" i="5"/>
  <c r="F69" i="9"/>
  <c r="F70" i="9" s="1"/>
  <c r="F78" i="9" s="1"/>
  <c r="F35" i="16" s="1"/>
  <c r="N42" i="16"/>
  <c r="N41" i="16"/>
  <c r="G11" i="8"/>
  <c r="G28" i="5"/>
  <c r="G38" i="6"/>
  <c r="C76" i="7"/>
  <c r="F76" i="7" s="1"/>
  <c r="H25" i="6" s="1"/>
  <c r="C73" i="7"/>
  <c r="F73" i="7" s="1"/>
  <c r="G73" i="7" s="1"/>
  <c r="G76" i="7" s="1"/>
  <c r="H26" i="6" s="1"/>
  <c r="H25" i="5" s="1"/>
  <c r="N44" i="16"/>
  <c r="N40" i="16"/>
  <c r="F34" i="8"/>
  <c r="F37" i="8" s="1"/>
  <c r="G15" i="9" l="1"/>
  <c r="G69" i="9" s="1"/>
  <c r="G70" i="9" s="1"/>
  <c r="H73" i="7"/>
  <c r="H76" i="7" s="1"/>
  <c r="N28" i="16"/>
  <c r="N36" i="16"/>
  <c r="F77" i="9"/>
  <c r="H13" i="9"/>
  <c r="P27" i="16" s="1"/>
  <c r="F12" i="6"/>
  <c r="F14" i="6" s="1"/>
  <c r="F22" i="6" s="1"/>
  <c r="F39" i="6" s="1"/>
  <c r="F10" i="8"/>
  <c r="F14" i="8" s="1"/>
  <c r="F24" i="8" s="1"/>
  <c r="C83" i="7"/>
  <c r="F83" i="7" s="1"/>
  <c r="C86" i="7"/>
  <c r="F86" i="7" s="1"/>
  <c r="I25" i="6" s="1"/>
  <c r="H27" i="6"/>
  <c r="G30" i="5"/>
  <c r="O11" i="16"/>
  <c r="O10" i="16"/>
  <c r="F34" i="5"/>
  <c r="F9" i="16"/>
  <c r="O28" i="16" l="1"/>
  <c r="G78" i="9"/>
  <c r="G35" i="16" s="1"/>
  <c r="G11" i="6"/>
  <c r="O44" i="16" s="1"/>
  <c r="G77" i="9"/>
  <c r="G16" i="9"/>
  <c r="O42" i="16" s="1"/>
  <c r="O36" i="16"/>
  <c r="P43" i="16"/>
  <c r="G32" i="5"/>
  <c r="O21" i="16"/>
  <c r="O41" i="16"/>
  <c r="H28" i="5"/>
  <c r="H11" i="8"/>
  <c r="H38" i="6"/>
  <c r="I13" i="9"/>
  <c r="G83" i="7"/>
  <c r="G86" i="7" s="1"/>
  <c r="I26" i="6" s="1"/>
  <c r="I25" i="5" s="1"/>
  <c r="H15" i="9" l="1"/>
  <c r="H69" i="9" s="1"/>
  <c r="H70" i="9" s="1"/>
  <c r="G23" i="9"/>
  <c r="O40" i="16"/>
  <c r="G34" i="8"/>
  <c r="G37" i="8" s="1"/>
  <c r="G10" i="8"/>
  <c r="G14" i="8" s="1"/>
  <c r="G24" i="8" s="1"/>
  <c r="G37" i="9"/>
  <c r="G39" i="9" s="1"/>
  <c r="G12" i="6"/>
  <c r="G14" i="6" s="1"/>
  <c r="G22" i="6" s="1"/>
  <c r="G39" i="6" s="1"/>
  <c r="H30" i="5"/>
  <c r="P11" i="16"/>
  <c r="P10" i="16"/>
  <c r="I27" i="6"/>
  <c r="H83" i="7"/>
  <c r="H86" i="7" s="1"/>
  <c r="P36" i="16" l="1"/>
  <c r="H78" i="9"/>
  <c r="H35" i="16" s="1"/>
  <c r="H11" i="6"/>
  <c r="H34" i="8" s="1"/>
  <c r="H37" i="8" s="1"/>
  <c r="H16" i="9"/>
  <c r="P42" i="16" s="1"/>
  <c r="H77" i="9"/>
  <c r="P28" i="16"/>
  <c r="I38" i="6"/>
  <c r="I28" i="5"/>
  <c r="I30" i="5" s="1"/>
  <c r="I11" i="8"/>
  <c r="G34" i="5"/>
  <c r="G9" i="16"/>
  <c r="P41" i="16"/>
  <c r="H32" i="5"/>
  <c r="P21" i="16"/>
  <c r="I32" i="5" l="1"/>
  <c r="I10" i="8" s="1"/>
  <c r="I14" i="8" s="1"/>
  <c r="I24" i="8" s="1"/>
  <c r="I15" i="9"/>
  <c r="I69" i="9" s="1"/>
  <c r="I70" i="9" s="1"/>
  <c r="I78" i="9" s="1"/>
  <c r="H23" i="9"/>
  <c r="P44" i="16"/>
  <c r="H37" i="9"/>
  <c r="H39" i="9" s="1"/>
  <c r="H12" i="6"/>
  <c r="H14" i="6" s="1"/>
  <c r="H22" i="6" s="1"/>
  <c r="H39" i="6" s="1"/>
  <c r="H10" i="8"/>
  <c r="H14" i="8" s="1"/>
  <c r="H24" i="8" s="1"/>
  <c r="P40" i="16"/>
  <c r="I37" i="9" l="1"/>
  <c r="I39" i="9" s="1"/>
  <c r="I34" i="5" s="1"/>
  <c r="I12" i="6"/>
  <c r="I77" i="9"/>
  <c r="I16" i="9"/>
  <c r="I23" i="9" s="1"/>
  <c r="I11" i="6"/>
  <c r="I34" i="8" s="1"/>
  <c r="I37" i="8" s="1"/>
  <c r="H9" i="16"/>
  <c r="H34" i="5"/>
  <c r="I14" i="6" l="1"/>
  <c r="I22" i="6" s="1"/>
  <c r="I39" i="6" s="1"/>
</calcChain>
</file>

<file path=xl/sharedStrings.xml><?xml version="1.0" encoding="utf-8"?>
<sst xmlns="http://schemas.openxmlformats.org/spreadsheetml/2006/main" count="624" uniqueCount="337">
  <si>
    <t xml:space="preserve">DETAILED PROJECT REPORT FOR </t>
  </si>
  <si>
    <t>PROJECTED FINANCIAL REPORT</t>
  </si>
  <si>
    <t>BUSINESS ACTIVITY :</t>
  </si>
  <si>
    <t>Now it is proposed to start operation with financial assistance from a suitable commercial bank.</t>
  </si>
  <si>
    <t>Hence this project Report is presented.</t>
  </si>
  <si>
    <t>I  N  D  E  X</t>
  </si>
  <si>
    <t>SL.</t>
  </si>
  <si>
    <t>C O N T E N T S</t>
  </si>
  <si>
    <t>PAGES</t>
  </si>
  <si>
    <t>CHAPTER :</t>
  </si>
  <si>
    <t>Project Profile</t>
  </si>
  <si>
    <t>Project Fund Requirements</t>
  </si>
  <si>
    <t>Trading Accounts</t>
  </si>
  <si>
    <t>Capital Account and Balance Sheet</t>
  </si>
  <si>
    <t>Depreciation Schedule</t>
  </si>
  <si>
    <t>Ratios.</t>
  </si>
  <si>
    <t>Repayment Schedual</t>
  </si>
  <si>
    <r>
      <rPr>
        <b/>
        <sz val="18"/>
        <color theme="1"/>
        <rFont val="Calibri"/>
        <family val="2"/>
        <scheme val="minor"/>
      </rPr>
      <t xml:space="preserve">             </t>
    </r>
    <r>
      <rPr>
        <b/>
        <u val="double"/>
        <sz val="18"/>
        <color theme="1"/>
        <rFont val="Calibri"/>
        <family val="2"/>
        <scheme val="minor"/>
      </rPr>
      <t>PROFILE</t>
    </r>
  </si>
  <si>
    <t>Introduction:</t>
  </si>
  <si>
    <t>Activity</t>
  </si>
  <si>
    <t>Name of Firm</t>
  </si>
  <si>
    <t xml:space="preserve"> </t>
  </si>
  <si>
    <t xml:space="preserve">PAN </t>
  </si>
  <si>
    <t>Address</t>
  </si>
  <si>
    <t xml:space="preserve">     -Business Experience</t>
  </si>
  <si>
    <t xml:space="preserve">Current Area Of Operation </t>
  </si>
  <si>
    <t>No. Of Manpower</t>
  </si>
  <si>
    <t>Infrastructure Facilities</t>
  </si>
  <si>
    <t xml:space="preserve">    -Space</t>
  </si>
  <si>
    <t xml:space="preserve">    -Connectivity</t>
  </si>
  <si>
    <t xml:space="preserve">:    Well connected with road </t>
  </si>
  <si>
    <t xml:space="preserve">    -Location</t>
  </si>
  <si>
    <t xml:space="preserve">    -Electricity &amp; Water </t>
  </si>
  <si>
    <t>: Yes</t>
  </si>
  <si>
    <t>Exsisting Facility</t>
  </si>
  <si>
    <t>:    NA</t>
  </si>
  <si>
    <t>Capital Requirement</t>
  </si>
  <si>
    <t>Note</t>
  </si>
  <si>
    <t>2. Assumption are made on going Concern Basis.</t>
  </si>
  <si>
    <t xml:space="preserve">3. This Projected Financial Report includes forecasts, projection and other predictive statements that respresent </t>
  </si>
  <si>
    <t>firm's assumption and expectations in light of currently available information. These forecasts, etc.,</t>
  </si>
  <si>
    <t xml:space="preserve">are based on industry trends, circumstances involving client and other factors, and they involve risks, variables </t>
  </si>
  <si>
    <t xml:space="preserve">and uncertainties. The firm's actual performance results may differs, andyhey involve risks, variable and </t>
  </si>
  <si>
    <t xml:space="preserve">uncertainties. The firm's actual performance results may differ from those projected n this projected </t>
  </si>
  <si>
    <t xml:space="preserve">Financial Report. Consequently, no guarantee is presented or implied as to the accuracy of specific forecast, </t>
  </si>
  <si>
    <t>projections or predictive atatements contained herein.</t>
  </si>
  <si>
    <t>page 1</t>
  </si>
  <si>
    <t>FUND REQUIREMENTS</t>
  </si>
  <si>
    <t xml:space="preserve">A </t>
  </si>
  <si>
    <t>ASSETS REQUIREMENT</t>
  </si>
  <si>
    <t>FIXED ASSET</t>
  </si>
  <si>
    <t>TOTAL ASSETS</t>
  </si>
  <si>
    <t>Rs.</t>
  </si>
  <si>
    <t>B</t>
  </si>
  <si>
    <t xml:space="preserve">FIXED CAPITAL </t>
  </si>
  <si>
    <t>Total Fixed Capital Requirements</t>
  </si>
  <si>
    <t>C</t>
  </si>
  <si>
    <t xml:space="preserve"> WORKING CAPITAL REQUIREMENT</t>
  </si>
  <si>
    <t>Stock-in-progress</t>
  </si>
  <si>
    <t>Receivales</t>
  </si>
  <si>
    <t>Total Working Capital</t>
  </si>
  <si>
    <t>D</t>
  </si>
  <si>
    <t>TOTAL CAPITAL REQUIREMENT</t>
  </si>
  <si>
    <t xml:space="preserve">Fixed Capital </t>
  </si>
  <si>
    <t>Working Capital</t>
  </si>
  <si>
    <t>Total Capital Requirement</t>
  </si>
  <si>
    <t>E</t>
  </si>
  <si>
    <t>MEANS OF FINANCE</t>
  </si>
  <si>
    <r>
      <rPr>
        <b/>
        <sz val="11"/>
        <color theme="1"/>
        <rFont val="Calibri"/>
        <family val="2"/>
        <scheme val="minor"/>
      </rPr>
      <t>Promoter's Contri</t>
    </r>
    <r>
      <rPr>
        <sz val="11"/>
        <color theme="1"/>
        <rFont val="Calibri"/>
        <family val="2"/>
        <scheme val="minor"/>
      </rPr>
      <t xml:space="preserve">               </t>
    </r>
  </si>
  <si>
    <r>
      <rPr>
        <b/>
        <sz val="11"/>
        <color theme="1"/>
        <rFont val="Calibri"/>
        <family val="2"/>
        <scheme val="minor"/>
      </rPr>
      <t>Bank's Finance</t>
    </r>
    <r>
      <rPr>
        <sz val="11"/>
        <color theme="1"/>
        <rFont val="Calibri"/>
        <family val="2"/>
        <scheme val="minor"/>
      </rPr>
      <t xml:space="preserve">                     Term Loan </t>
    </r>
  </si>
  <si>
    <t>Working Capital Loan</t>
  </si>
  <si>
    <t>page 2</t>
  </si>
  <si>
    <t>TRADING ACCOUNT</t>
  </si>
  <si>
    <t>PARTICULAR</t>
  </si>
  <si>
    <t>Projected</t>
  </si>
  <si>
    <t>Year ended</t>
  </si>
  <si>
    <t>Gross Receipts</t>
  </si>
  <si>
    <t>Gross Sales</t>
  </si>
  <si>
    <t>Total</t>
  </si>
  <si>
    <t>Consumables</t>
  </si>
  <si>
    <t>Opening Stock</t>
  </si>
  <si>
    <t>Perchase account</t>
  </si>
  <si>
    <t>Raw Material Consumed</t>
  </si>
  <si>
    <t>Direct Expenses</t>
  </si>
  <si>
    <t>Electricity Expenses</t>
  </si>
  <si>
    <t>Repair &amp; Maintenance</t>
  </si>
  <si>
    <t>Labour &amp; Wages</t>
  </si>
  <si>
    <t>Less: Closing Stock</t>
  </si>
  <si>
    <t>COGS</t>
  </si>
  <si>
    <t>Gross Profit</t>
  </si>
  <si>
    <t>page 3</t>
  </si>
  <si>
    <t>PROFIT &amp; LOSS ACCOUNT</t>
  </si>
  <si>
    <t>As Per Trading Account</t>
  </si>
  <si>
    <t>Other Income</t>
  </si>
  <si>
    <t>-</t>
  </si>
  <si>
    <t xml:space="preserve">Cost of Goods </t>
  </si>
  <si>
    <t>Indirect Expenses</t>
  </si>
  <si>
    <t xml:space="preserve">To Accounting/audit Charges </t>
  </si>
  <si>
    <t>To bank Charges</t>
  </si>
  <si>
    <t>To Transport Exp.</t>
  </si>
  <si>
    <t>To Interest Paid to Bank</t>
  </si>
  <si>
    <t>To Stationery</t>
  </si>
  <si>
    <t>To Telephone &amp; Mobile Exp</t>
  </si>
  <si>
    <t>To Depreciation</t>
  </si>
  <si>
    <t>Net Profit Befor Tax</t>
  </si>
  <si>
    <t>Provision for Tax</t>
  </si>
  <si>
    <t>Net Profit After Tax</t>
  </si>
  <si>
    <t xml:space="preserve">Net Profit Ratio </t>
  </si>
  <si>
    <t>page 4</t>
  </si>
  <si>
    <r>
      <t xml:space="preserve">   </t>
    </r>
    <r>
      <rPr>
        <b/>
        <u val="double"/>
        <sz val="12"/>
        <color theme="1"/>
        <rFont val="Calibri"/>
        <family val="2"/>
        <scheme val="minor"/>
      </rPr>
      <t xml:space="preserve"> BALANCE SHEET</t>
    </r>
  </si>
  <si>
    <t>Capital Account</t>
  </si>
  <si>
    <t>Opening Capital</t>
  </si>
  <si>
    <t>Add: New Profit after Tax</t>
  </si>
  <si>
    <t>Less: Drawing</t>
  </si>
  <si>
    <t>Loan Fund</t>
  </si>
  <si>
    <t>Term Loan</t>
  </si>
  <si>
    <t xml:space="preserve">CC </t>
  </si>
  <si>
    <t>Current Liabilities</t>
  </si>
  <si>
    <t xml:space="preserve">Sundry Creditors </t>
  </si>
  <si>
    <t>Fixed Assets</t>
  </si>
  <si>
    <t>Less: Dep</t>
  </si>
  <si>
    <t>Investment</t>
  </si>
  <si>
    <t>Other Investment</t>
  </si>
  <si>
    <t>Current Assets</t>
  </si>
  <si>
    <t>Inventory</t>
  </si>
  <si>
    <t>Sundry Debtor</t>
  </si>
  <si>
    <t>Other Assetes</t>
  </si>
  <si>
    <t>Cash &amp; Bank Balance</t>
  </si>
  <si>
    <t>page 5</t>
  </si>
  <si>
    <t>page 6</t>
  </si>
  <si>
    <t>WDV As on</t>
  </si>
  <si>
    <t>Additional During</t>
  </si>
  <si>
    <t>Sales/</t>
  </si>
  <si>
    <t xml:space="preserve">Total </t>
  </si>
  <si>
    <t xml:space="preserve">WDV As on </t>
  </si>
  <si>
    <t xml:space="preserve">Assets </t>
  </si>
  <si>
    <t>Rate</t>
  </si>
  <si>
    <t>the Year</t>
  </si>
  <si>
    <t>Deletion</t>
  </si>
  <si>
    <t>Amount</t>
  </si>
  <si>
    <t>Depreciation</t>
  </si>
  <si>
    <t>Bike and Vehicle</t>
  </si>
  <si>
    <t>Mobile/Computer/TV</t>
  </si>
  <si>
    <t>Toatal</t>
  </si>
  <si>
    <t>SCHEDULE OF FIXED ASSETS AS ON 31.03.2027</t>
  </si>
  <si>
    <t>01.04.2026</t>
  </si>
  <si>
    <t>31.3.2027</t>
  </si>
  <si>
    <t>SCHEDULE OF FIXED ASSETS AS ON 31.03.2028</t>
  </si>
  <si>
    <t>01.04.2027</t>
  </si>
  <si>
    <t>31.3.2028</t>
  </si>
  <si>
    <t>SCHEDULE OF FIXED ASSETS AS ON 31.03.2029</t>
  </si>
  <si>
    <t>01.04.2028</t>
  </si>
  <si>
    <t>31.3.2029</t>
  </si>
  <si>
    <t>SCHEDULE OF FIXED ASSETS AS ON 31.03.2030</t>
  </si>
  <si>
    <t>01.04.2029</t>
  </si>
  <si>
    <t>31.3.2030</t>
  </si>
  <si>
    <t>page 7</t>
  </si>
  <si>
    <t>SCHEDULE OF FIXED ASSETS AS ON 31.03.2031</t>
  </si>
  <si>
    <t>01.04.2030</t>
  </si>
  <si>
    <t>31.3.2031</t>
  </si>
  <si>
    <t>SCHEDULE OF FIXED ASSETS AS ON 31.03.2032</t>
  </si>
  <si>
    <t>01.04.2031</t>
  </si>
  <si>
    <t>31.3.2032</t>
  </si>
  <si>
    <t>page 8</t>
  </si>
  <si>
    <t>STATEMENT SHOWING DSCR</t>
  </si>
  <si>
    <t xml:space="preserve">Net Profit </t>
  </si>
  <si>
    <t>Interest on Bank Loan</t>
  </si>
  <si>
    <t>Total Amount</t>
  </si>
  <si>
    <t>Repayment of Loan</t>
  </si>
  <si>
    <t>DSCR</t>
  </si>
  <si>
    <t>Average DSCR</t>
  </si>
  <si>
    <t>STATEMENT SHOWING D/E Ratio</t>
  </si>
  <si>
    <t>TOTAL LIABILITIES</t>
  </si>
  <si>
    <t>EQUITY</t>
  </si>
  <si>
    <t>DEBT to EQUITY RATIO</t>
  </si>
  <si>
    <t>STATEMENT SHOWING LIQUIDITY AND PROFITABILITY RATIOS</t>
  </si>
  <si>
    <t>fixed Assets</t>
  </si>
  <si>
    <t>Investment &amp; Advances</t>
  </si>
  <si>
    <t>Current Assetes</t>
  </si>
  <si>
    <t xml:space="preserve">sundry Creditor </t>
  </si>
  <si>
    <t>Loan From Bank &amp; Other</t>
  </si>
  <si>
    <t>Other Liabilities</t>
  </si>
  <si>
    <t>Turnover</t>
  </si>
  <si>
    <t>Cost Of Good Sold</t>
  </si>
  <si>
    <t>Purchase &amp; Direct Expenses</t>
  </si>
  <si>
    <t>Less Closing Stock</t>
  </si>
  <si>
    <t xml:space="preserve">Gross Profit </t>
  </si>
  <si>
    <t>Gross Profit Ratio</t>
  </si>
  <si>
    <t xml:space="preserve">NET PROFT RATIO </t>
  </si>
  <si>
    <t>Sales</t>
  </si>
  <si>
    <t>Net Profit Ratio</t>
  </si>
  <si>
    <t>PROJECTED TREND OF SALES</t>
  </si>
  <si>
    <t xml:space="preserve">Sales </t>
  </si>
  <si>
    <t>Increase Of Sale</t>
  </si>
  <si>
    <t>% Of Increase Sales</t>
  </si>
  <si>
    <t>page 9</t>
  </si>
  <si>
    <t>INVENTORY HOLDING OF SALES</t>
  </si>
  <si>
    <t>Closing Stock</t>
  </si>
  <si>
    <t>Holding Period (In Days)</t>
  </si>
  <si>
    <t>CURRENT RATIO</t>
  </si>
  <si>
    <t>CURRENT ASSETS</t>
  </si>
  <si>
    <t xml:space="preserve">Sundry debtor </t>
  </si>
  <si>
    <t>Cash And Other Assets</t>
  </si>
  <si>
    <t>CURRENT LIABILITIES</t>
  </si>
  <si>
    <t>Sundry Creditor</t>
  </si>
  <si>
    <t>Cash Credit From Bank</t>
  </si>
  <si>
    <t>Net Working Capital</t>
  </si>
  <si>
    <t>Current Ratio</t>
  </si>
  <si>
    <t>page 10</t>
  </si>
  <si>
    <t>Repayment Schedule of Term Loan</t>
  </si>
  <si>
    <t xml:space="preserve"> Year</t>
  </si>
  <si>
    <t>EMI</t>
  </si>
  <si>
    <t>Principal</t>
  </si>
  <si>
    <t>Interest</t>
  </si>
  <si>
    <t>Total Interest</t>
  </si>
  <si>
    <t>Paid</t>
  </si>
  <si>
    <t>Loan Amount</t>
  </si>
  <si>
    <t>Tenure</t>
  </si>
  <si>
    <t>CC</t>
  </si>
  <si>
    <t>ROI</t>
  </si>
  <si>
    <t>page 11</t>
  </si>
  <si>
    <t>PROFITABILITY RATIOS</t>
  </si>
  <si>
    <t>Profitability Ratios</t>
  </si>
  <si>
    <t>Operating Profit Margin Ratio</t>
  </si>
  <si>
    <t>Operating  Ratio</t>
  </si>
  <si>
    <t>Expense Ratio</t>
  </si>
  <si>
    <t>Raw Materials  to Net Sales</t>
  </si>
  <si>
    <t>Electricity Expenses to Net Sales</t>
  </si>
  <si>
    <t>Direct Labour  to Net Sales</t>
  </si>
  <si>
    <t>Transport Exp. To Net Sales</t>
  </si>
  <si>
    <t>Selling , Gen.&amp; Adm.Exp.to Net Sales</t>
  </si>
  <si>
    <t>OVERALL  PROFITABILITY RATIOS</t>
  </si>
  <si>
    <t>Return on Investment (ROI/ROCE)</t>
  </si>
  <si>
    <t>TURNOVER  RATIOS</t>
  </si>
  <si>
    <t>Capital Turnover Ratio</t>
  </si>
  <si>
    <t>Fixed Assets Turnover Ratio</t>
  </si>
  <si>
    <t>Net Working  Capital Ratio</t>
  </si>
  <si>
    <t>Stock  Turnover  Ratio</t>
  </si>
  <si>
    <t>Debtors Turnover Ratio</t>
  </si>
  <si>
    <t>Creditors Turnover Ratio</t>
  </si>
  <si>
    <t>LIQUIDITY RATIO</t>
  </si>
  <si>
    <t>Quick Ratio (Acid  Test Ratio)</t>
  </si>
  <si>
    <t>SOLVENCY RATIO</t>
  </si>
  <si>
    <t>Debt-Equity Ratio</t>
  </si>
  <si>
    <t>Interest Coverage Ratio</t>
  </si>
  <si>
    <t>Debt to Total Funds Ratio</t>
  </si>
  <si>
    <t>Fixed Assets  Ratio</t>
  </si>
  <si>
    <t>Partnarship Ratio</t>
  </si>
  <si>
    <t>page 12</t>
  </si>
  <si>
    <t>Statement Showing DSCR/DE</t>
  </si>
  <si>
    <t>Name of Proprietery</t>
  </si>
  <si>
    <t>INVENTORY</t>
  </si>
  <si>
    <t>To Other Exp</t>
  </si>
  <si>
    <t>MOBILE No.</t>
  </si>
  <si>
    <t>EMAIL ID</t>
  </si>
  <si>
    <t>NET WORTH</t>
  </si>
  <si>
    <t xml:space="preserve"> MANUFACTURING.</t>
  </si>
  <si>
    <t>: MANUFACTURING.</t>
  </si>
  <si>
    <t>MACHINARY</t>
  </si>
  <si>
    <t>To Salary Exp.</t>
  </si>
  <si>
    <t>SCHEDULE OF FIXED ASSETS AS ON 31.03.2033</t>
  </si>
  <si>
    <t>01.04.2032</t>
  </si>
  <si>
    <t>31.3.2033</t>
  </si>
  <si>
    <t>Production Income :</t>
  </si>
  <si>
    <t>MANUFACTURING</t>
  </si>
  <si>
    <t>Full Capacity per day</t>
  </si>
  <si>
    <t>No. of Working Hour</t>
  </si>
  <si>
    <t>hour</t>
  </si>
  <si>
    <t>No of Working Days per month</t>
  </si>
  <si>
    <t>day</t>
  </si>
  <si>
    <t>No. of Working Day per annum</t>
  </si>
  <si>
    <t>Production Yearly</t>
  </si>
  <si>
    <t>Year</t>
  </si>
  <si>
    <t>Capacity Utilisation</t>
  </si>
  <si>
    <t>COMPUTATION OF SALES :</t>
  </si>
  <si>
    <t>Particulars</t>
  </si>
  <si>
    <t xml:space="preserve">TOTAL  </t>
  </si>
  <si>
    <t>O/s principal</t>
  </si>
  <si>
    <t>31.03.2027</t>
  </si>
  <si>
    <t>31.03.2028</t>
  </si>
  <si>
    <t>31.03.2029</t>
  </si>
  <si>
    <t>31.03.2030</t>
  </si>
  <si>
    <t>31.03.2031</t>
  </si>
  <si>
    <t>31.03.2032</t>
  </si>
  <si>
    <t>31.03.2033</t>
  </si>
  <si>
    <t>renual</t>
  </si>
  <si>
    <t>Month</t>
  </si>
  <si>
    <t>To Interest Paid to Bank CC</t>
  </si>
  <si>
    <t>Int Amt</t>
  </si>
  <si>
    <t>1. Bank intrest is taken at 09.00%</t>
  </si>
  <si>
    <t>Production income</t>
  </si>
  <si>
    <t>Computation of sales</t>
  </si>
  <si>
    <t>Profit And loss Account and Net Profit Rario</t>
  </si>
  <si>
    <t>Statement Showing Liquidity and Profotability</t>
  </si>
  <si>
    <t>page 13</t>
  </si>
  <si>
    <t>Page 14</t>
  </si>
  <si>
    <t>:  5</t>
  </si>
  <si>
    <t>31.05.2033</t>
  </si>
  <si>
    <t>PCS</t>
  </si>
  <si>
    <t>Average Rate of per pcs.</t>
  </si>
  <si>
    <t>Total  Production pcs.</t>
  </si>
  <si>
    <t xml:space="preserve">TOTAL Sale (in Lacs) </t>
  </si>
  <si>
    <t>R R ENTERPRISE</t>
  </si>
  <si>
    <t>: R R ENTERPRISE</t>
  </si>
  <si>
    <t>FOR R R ENTERPRISE</t>
  </si>
  <si>
    <t>FOR  R R ENTERPRISE</t>
  </si>
  <si>
    <t xml:space="preserve">                    R R ENTERPRISE</t>
  </si>
  <si>
    <t xml:space="preserve">173/A-2, 5TH FLOOR, SOUTH BABRIK INDUSTRIAL, </t>
  </si>
  <si>
    <t xml:space="preserve">This project has been designed to establish a Manufacturing. It is a Proprietor firm concern owned by  BHAVESHKUMAR RAVJIBHAI SOJITRA. The Proprietor hail from business family and is having experience in this line of business. </t>
  </si>
  <si>
    <t>: BHAVESHKUMAR RAVJIBHAI SOJITRA</t>
  </si>
  <si>
    <t>: DNTPS3311D</t>
  </si>
  <si>
    <t>UDHYAM No.</t>
  </si>
  <si>
    <t>: UDYAM-GJ-22-0188146</t>
  </si>
  <si>
    <t>: 9662918888</t>
  </si>
  <si>
    <t>: bhaveshsojitra71@gmail.com</t>
  </si>
  <si>
    <t>: Surat</t>
  </si>
  <si>
    <t>: Term  Loan:  Rs.44.50 lakh</t>
  </si>
  <si>
    <t xml:space="preserve">                  VELANJA ROAD SURAT, GUJARAT, 395004</t>
  </si>
  <si>
    <t xml:space="preserve">Address :  BLOCK NO 203, GOTHAN BRIDGE THI AAGAL UMRA CHOKDI NI BAJUMA,  </t>
  </si>
  <si>
    <t>BLOCK NO 203, GOTHAN BRIDGE THI AAGAL UMRA CHOKDI NI BAJUMA</t>
  </si>
  <si>
    <t xml:space="preserve">: BLOCK NO 203, GOTHAN BRIDGE THI AAGAL UMRA CHOKDI NI BAJUMA, </t>
  </si>
  <si>
    <t xml:space="preserve">BLOCK NO 203, GOTHAN BRIDGE THI AAGAL UMRA CHOKDI NI BAJUMA </t>
  </si>
  <si>
    <t xml:space="preserve"> BLOCK NO 203, GOTHAN BRIDGE THI AAGAL UMRA CHOKDI NI BAJUMA, </t>
  </si>
  <si>
    <t xml:space="preserve">BLOCK NO 203, GOTHAN BRIDGE THI AAGAL UMRA CHOKDI NI BAJUMA, </t>
  </si>
  <si>
    <t xml:space="preserve">   BLOCK NO 203, GOTHAN BRIDGE THI AAGAL UMRA CHOKDI NI BAJUMA, </t>
  </si>
  <si>
    <t>VELANJA ROAD SURAT, GUJARAT, 395004</t>
  </si>
  <si>
    <t xml:space="preserve">  VELANJA ROAD SURAT, GUJARAT, 395004</t>
  </si>
  <si>
    <t>81 month</t>
  </si>
  <si>
    <t>Rs.54939</t>
  </si>
  <si>
    <r>
      <t>*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>For FY 2025-26, EMI is taken as paid for Nov 2026 (Moratorium period 3 Month Aug 26 TO Sep 26)</t>
    </r>
  </si>
  <si>
    <t>To Rent Exp.</t>
  </si>
  <si>
    <t xml:space="preserve">COMPUTATION OF PROVIDING MANUFACTURING of  : HOTFIX </t>
  </si>
  <si>
    <t>HOTFIX</t>
  </si>
  <si>
    <t>HOTFIX PCS</t>
  </si>
  <si>
    <t>:    9000+ sq feet</t>
  </si>
  <si>
    <t xml:space="preserve">This project proposal outlines the establishment/expansion of a high-efficiency Hotfix Paper (Rhinestone Transfer Tape) Manufacturing and Processing Unit. The unit is designed to produce high-grade acrylic-adhesive silicone transfer paper widely used in the apparel, textile motif, and garment decoration industries.  The proposed production setup utilizes a semi-automatic / fully automatic high-speed Hotfix Paper Coating, Slitting, and Rewinding Machine designed for optimal efficiency and minimal waste.         </t>
  </si>
  <si>
    <t>: 12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</si>
</sst>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[$₹-4009]\ * #,##0.00_ ;_ [$₹-4009]\ * \-#,##0.00_ ;_ [$₹-4009]\ * &quot;-&quot;??_ ;_ @_ "/>
  </numFmts>
  <fonts count="5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 val="double"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name val="Bookman Old Style"/>
      <family val="1"/>
    </font>
    <font>
      <b/>
      <u/>
      <sz val="11"/>
      <name val="Bookman Old Style"/>
      <family val="1"/>
    </font>
    <font>
      <sz val="10"/>
      <name val="Bookman Old Style"/>
      <family val="1"/>
    </font>
    <font>
      <b/>
      <u val="double"/>
      <sz val="18"/>
      <color theme="1"/>
      <name val="Calibri"/>
      <family val="2"/>
      <scheme val="minor"/>
    </font>
    <font>
      <b/>
      <i/>
      <u/>
      <sz val="2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indexed="8"/>
      <name val="Times New Roman"/>
      <family val="1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u/>
      <sz val="10"/>
      <color indexed="8"/>
      <name val="Times New Roman"/>
      <family val="1"/>
    </font>
    <font>
      <b/>
      <u val="double"/>
      <sz val="28"/>
      <color indexed="8"/>
      <name val="Times New Roman"/>
      <family val="1"/>
    </font>
    <font>
      <i/>
      <sz val="10"/>
      <color indexed="8"/>
      <name val="Times New Roman"/>
      <family val="1"/>
    </font>
    <font>
      <b/>
      <u/>
      <sz val="26"/>
      <color indexed="8"/>
      <name val="Times New Roman"/>
      <family val="1"/>
    </font>
    <font>
      <sz val="18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u/>
      <sz val="10"/>
      <color theme="10"/>
      <name val="Arial"/>
      <family val="2"/>
    </font>
    <font>
      <b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0" fontId="45" fillId="0" borderId="0" applyNumberFormat="0" applyFill="0" applyBorder="0" applyAlignment="0" applyProtection="0"/>
  </cellStyleXfs>
  <cellXfs count="427">
    <xf numFmtId="0" fontId="0" fillId="0" borderId="0" xfId="0"/>
    <xf numFmtId="0" fontId="0" fillId="0" borderId="0" xfId="0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10" fontId="0" fillId="0" borderId="5" xfId="0" applyNumberFormat="1" applyBorder="1"/>
    <xf numFmtId="10" fontId="0" fillId="0" borderId="8" xfId="0" applyNumberFormat="1" applyBorder="1"/>
    <xf numFmtId="10" fontId="0" fillId="0" borderId="6" xfId="0" applyNumberFormat="1" applyBorder="1"/>
    <xf numFmtId="10" fontId="0" fillId="0" borderId="7" xfId="0" applyNumberFormat="1" applyBorder="1"/>
    <xf numFmtId="10" fontId="0" fillId="0" borderId="9" xfId="0" applyNumberFormat="1" applyBorder="1"/>
    <xf numFmtId="10" fontId="0" fillId="0" borderId="11" xfId="0" applyNumberFormat="1" applyBorder="1"/>
    <xf numFmtId="10" fontId="0" fillId="0" borderId="0" xfId="0" applyNumberFormat="1"/>
    <xf numFmtId="10" fontId="0" fillId="0" borderId="10" xfId="0" applyNumberFormat="1" applyBorder="1"/>
    <xf numFmtId="10" fontId="0" fillId="0" borderId="12" xfId="0" applyNumberFormat="1" applyBorder="1"/>
    <xf numFmtId="10" fontId="0" fillId="0" borderId="13" xfId="0" applyNumberFormat="1" applyBorder="1"/>
    <xf numFmtId="10" fontId="0" fillId="0" borderId="14" xfId="0" applyNumberFormat="1" applyBorder="1"/>
    <xf numFmtId="10" fontId="0" fillId="0" borderId="15" xfId="0" applyNumberFormat="1" applyBorder="1"/>
    <xf numFmtId="0" fontId="0" fillId="0" borderId="9" xfId="0" applyBorder="1"/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10" fontId="0" fillId="0" borderId="1" xfId="0" applyNumberFormat="1" applyBorder="1"/>
    <xf numFmtId="9" fontId="0" fillId="0" borderId="4" xfId="0" applyNumberFormat="1" applyBorder="1"/>
    <xf numFmtId="9" fontId="0" fillId="0" borderId="2" xfId="0" applyNumberFormat="1" applyBorder="1"/>
    <xf numFmtId="9" fontId="0" fillId="0" borderId="3" xfId="0" applyNumberFormat="1" applyBorder="1"/>
    <xf numFmtId="9" fontId="0" fillId="0" borderId="0" xfId="0" applyNumberFormat="1"/>
    <xf numFmtId="9" fontId="0" fillId="0" borderId="11" xfId="0" applyNumberFormat="1" applyBorder="1"/>
    <xf numFmtId="9" fontId="0" fillId="0" borderId="9" xfId="0" applyNumberFormat="1" applyBorder="1"/>
    <xf numFmtId="9" fontId="0" fillId="0" borderId="10" xfId="0" applyNumberFormat="1" applyBorder="1"/>
    <xf numFmtId="0" fontId="20" fillId="0" borderId="0" xfId="0" applyFont="1"/>
    <xf numFmtId="0" fontId="16" fillId="0" borderId="0" xfId="0" applyFont="1"/>
    <xf numFmtId="0" fontId="19" fillId="0" borderId="16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20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right"/>
    </xf>
    <xf numFmtId="10" fontId="0" fillId="0" borderId="4" xfId="0" applyNumberFormat="1" applyBorder="1" applyAlignment="1">
      <alignment horizontal="right"/>
    </xf>
    <xf numFmtId="0" fontId="23" fillId="0" borderId="0" xfId="0" applyFont="1"/>
    <xf numFmtId="0" fontId="0" fillId="0" borderId="20" xfId="0" applyBorder="1" applyAlignment="1">
      <alignment horizontal="center"/>
    </xf>
    <xf numFmtId="0" fontId="19" fillId="0" borderId="35" xfId="0" applyFont="1" applyBorder="1" applyAlignment="1">
      <alignment horizontal="center"/>
    </xf>
    <xf numFmtId="0" fontId="19" fillId="0" borderId="3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9" xfId="0" applyBorder="1" applyAlignment="1">
      <alignment horizontal="center"/>
    </xf>
    <xf numFmtId="0" fontId="21" fillId="0" borderId="41" xfId="0" applyFont="1" applyBorder="1"/>
    <xf numFmtId="0" fontId="0" fillId="0" borderId="16" xfId="0" applyBorder="1"/>
    <xf numFmtId="0" fontId="0" fillId="0" borderId="41" xfId="0" applyBorder="1"/>
    <xf numFmtId="0" fontId="0" fillId="0" borderId="38" xfId="0" applyBorder="1"/>
    <xf numFmtId="0" fontId="0" fillId="0" borderId="38" xfId="0" applyBorder="1" applyAlignment="1">
      <alignment horizontal="right"/>
    </xf>
    <xf numFmtId="0" fontId="0" fillId="0" borderId="26" xfId="0" applyBorder="1"/>
    <xf numFmtId="0" fontId="0" fillId="0" borderId="2" xfId="0" applyBorder="1"/>
    <xf numFmtId="0" fontId="25" fillId="0" borderId="38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19" fillId="0" borderId="41" xfId="0" applyFont="1" applyBorder="1"/>
    <xf numFmtId="0" fontId="19" fillId="0" borderId="26" xfId="0" applyFont="1" applyBorder="1"/>
    <xf numFmtId="0" fontId="19" fillId="0" borderId="2" xfId="0" applyFont="1" applyBorder="1"/>
    <xf numFmtId="10" fontId="0" fillId="0" borderId="38" xfId="0" applyNumberFormat="1" applyBorder="1"/>
    <xf numFmtId="10" fontId="19" fillId="0" borderId="0" xfId="0" applyNumberFormat="1" applyFont="1"/>
    <xf numFmtId="10" fontId="19" fillId="0" borderId="38" xfId="0" applyNumberFormat="1" applyFont="1" applyBorder="1"/>
    <xf numFmtId="0" fontId="0" fillId="0" borderId="22" xfId="0" applyBorder="1"/>
    <xf numFmtId="0" fontId="0" fillId="0" borderId="42" xfId="0" applyBorder="1"/>
    <xf numFmtId="0" fontId="21" fillId="0" borderId="43" xfId="0" applyFont="1" applyBorder="1"/>
    <xf numFmtId="0" fontId="0" fillId="0" borderId="36" xfId="0" applyBorder="1"/>
    <xf numFmtId="0" fontId="0" fillId="0" borderId="35" xfId="0" applyBorder="1"/>
    <xf numFmtId="0" fontId="26" fillId="0" borderId="41" xfId="0" applyFont="1" applyBorder="1"/>
    <xf numFmtId="0" fontId="19" fillId="0" borderId="0" xfId="0" applyFont="1"/>
    <xf numFmtId="0" fontId="19" fillId="0" borderId="38" xfId="0" applyFont="1" applyBorder="1"/>
    <xf numFmtId="0" fontId="19" fillId="0" borderId="44" xfId="0" applyFont="1" applyBorder="1"/>
    <xf numFmtId="0" fontId="19" fillId="0" borderId="20" xfId="0" applyFont="1" applyBorder="1"/>
    <xf numFmtId="10" fontId="19" fillId="0" borderId="19" xfId="0" applyNumberFormat="1" applyFont="1" applyBorder="1"/>
    <xf numFmtId="9" fontId="19" fillId="0" borderId="19" xfId="0" applyNumberFormat="1" applyFont="1" applyBorder="1"/>
    <xf numFmtId="0" fontId="19" fillId="0" borderId="45" xfId="0" applyFont="1" applyBorder="1"/>
    <xf numFmtId="0" fontId="0" fillId="0" borderId="17" xfId="0" applyBorder="1"/>
    <xf numFmtId="0" fontId="0" fillId="0" borderId="18" xfId="0" applyBorder="1"/>
    <xf numFmtId="0" fontId="0" fillId="0" borderId="46" xfId="0" applyBorder="1"/>
    <xf numFmtId="0" fontId="17" fillId="0" borderId="41" xfId="0" applyFont="1" applyBorder="1"/>
    <xf numFmtId="0" fontId="0" fillId="0" borderId="32" xfId="0" applyBorder="1"/>
    <xf numFmtId="0" fontId="0" fillId="0" borderId="30" xfId="0" applyBorder="1"/>
    <xf numFmtId="0" fontId="0" fillId="0" borderId="31" xfId="0" applyBorder="1"/>
    <xf numFmtId="0" fontId="0" fillId="0" borderId="27" xfId="0" applyBorder="1"/>
    <xf numFmtId="0" fontId="0" fillId="0" borderId="19" xfId="0" applyBorder="1"/>
    <xf numFmtId="0" fontId="0" fillId="0" borderId="20" xfId="0" applyBorder="1"/>
    <xf numFmtId="0" fontId="19" fillId="0" borderId="45" xfId="0" applyFont="1" applyBorder="1" applyAlignment="1">
      <alignment horizontal="center"/>
    </xf>
    <xf numFmtId="0" fontId="19" fillId="0" borderId="44" xfId="0" applyFont="1" applyBorder="1" applyAlignment="1">
      <alignment horizontal="center"/>
    </xf>
    <xf numFmtId="0" fontId="0" fillId="0" borderId="45" xfId="0" applyBorder="1"/>
    <xf numFmtId="0" fontId="26" fillId="0" borderId="16" xfId="0" applyFont="1" applyBorder="1" applyAlignment="1">
      <alignment horizontal="center"/>
    </xf>
    <xf numFmtId="0" fontId="26" fillId="0" borderId="38" xfId="0" applyFont="1" applyBorder="1" applyAlignment="1">
      <alignment horizontal="center"/>
    </xf>
    <xf numFmtId="0" fontId="26" fillId="0" borderId="42" xfId="0" applyFont="1" applyBorder="1" applyAlignment="1">
      <alignment horizontal="center"/>
    </xf>
    <xf numFmtId="0" fontId="26" fillId="0" borderId="19" xfId="0" applyFont="1" applyBorder="1" applyAlignment="1">
      <alignment horizontal="center"/>
    </xf>
    <xf numFmtId="0" fontId="25" fillId="0" borderId="31" xfId="0" applyFont="1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32" xfId="0" applyFont="1" applyBorder="1" applyAlignment="1">
      <alignment horizontal="center"/>
    </xf>
    <xf numFmtId="0" fontId="26" fillId="0" borderId="31" xfId="0" applyFont="1" applyBorder="1" applyAlignment="1">
      <alignment horizontal="center"/>
    </xf>
    <xf numFmtId="0" fontId="27" fillId="0" borderId="0" xfId="0" applyFont="1"/>
    <xf numFmtId="0" fontId="19" fillId="0" borderId="47" xfId="0" applyFont="1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32" xfId="0" applyBorder="1" applyAlignment="1">
      <alignment horizontal="right"/>
    </xf>
    <xf numFmtId="0" fontId="0" fillId="0" borderId="31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46" xfId="0" applyBorder="1" applyAlignment="1">
      <alignment horizontal="right"/>
    </xf>
    <xf numFmtId="0" fontId="19" fillId="0" borderId="32" xfId="0" applyFont="1" applyBorder="1" applyAlignment="1">
      <alignment horizontal="right"/>
    </xf>
    <xf numFmtId="0" fontId="19" fillId="0" borderId="30" xfId="0" applyFont="1" applyBorder="1" applyAlignment="1">
      <alignment horizontal="right"/>
    </xf>
    <xf numFmtId="0" fontId="19" fillId="0" borderId="31" xfId="0" applyFont="1" applyBorder="1" applyAlignment="1">
      <alignment horizontal="right"/>
    </xf>
    <xf numFmtId="0" fontId="28" fillId="0" borderId="41" xfId="0" applyFont="1" applyBorder="1"/>
    <xf numFmtId="0" fontId="0" fillId="0" borderId="19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44" xfId="0" applyBorder="1"/>
    <xf numFmtId="0" fontId="19" fillId="0" borderId="35" xfId="0" applyFont="1" applyBorder="1" applyAlignment="1">
      <alignment horizontal="right"/>
    </xf>
    <xf numFmtId="0" fontId="19" fillId="0" borderId="36" xfId="0" applyFont="1" applyBorder="1" applyAlignment="1">
      <alignment horizontal="right"/>
    </xf>
    <xf numFmtId="0" fontId="19" fillId="0" borderId="43" xfId="0" applyFont="1" applyBorder="1" applyAlignment="1">
      <alignment horizontal="right"/>
    </xf>
    <xf numFmtId="0" fontId="19" fillId="0" borderId="0" xfId="0" applyFont="1" applyAlignment="1">
      <alignment horizontal="right"/>
    </xf>
    <xf numFmtId="0" fontId="25" fillId="0" borderId="16" xfId="0" applyFont="1" applyBorder="1" applyAlignment="1">
      <alignment horizontal="right"/>
    </xf>
    <xf numFmtId="0" fontId="25" fillId="0" borderId="18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0" fillId="0" borderId="30" xfId="0" applyBorder="1" applyAlignment="1">
      <alignment horizontal="right"/>
    </xf>
    <xf numFmtId="0" fontId="15" fillId="0" borderId="41" xfId="0" applyFont="1" applyBorder="1"/>
    <xf numFmtId="10" fontId="19" fillId="0" borderId="38" xfId="0" applyNumberFormat="1" applyFont="1" applyBorder="1" applyAlignment="1">
      <alignment horizontal="center"/>
    </xf>
    <xf numFmtId="10" fontId="19" fillId="0" borderId="0" xfId="0" applyNumberFormat="1" applyFont="1" applyAlignment="1">
      <alignment horizontal="center"/>
    </xf>
    <xf numFmtId="0" fontId="29" fillId="0" borderId="0" xfId="0" applyFont="1"/>
    <xf numFmtId="9" fontId="0" fillId="0" borderId="38" xfId="0" applyNumberFormat="1" applyBorder="1" applyAlignment="1">
      <alignment horizontal="right"/>
    </xf>
    <xf numFmtId="9" fontId="0" fillId="0" borderId="46" xfId="0" applyNumberFormat="1" applyBorder="1" applyAlignment="1">
      <alignment horizontal="right"/>
    </xf>
    <xf numFmtId="9" fontId="0" fillId="0" borderId="0" xfId="0" applyNumberFormat="1" applyAlignment="1">
      <alignment horizontal="right"/>
    </xf>
    <xf numFmtId="0" fontId="0" fillId="0" borderId="27" xfId="0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2" xfId="0" applyBorder="1" applyAlignment="1">
      <alignment horizontal="right"/>
    </xf>
    <xf numFmtId="0" fontId="25" fillId="0" borderId="38" xfId="0" applyFont="1" applyBorder="1" applyAlignment="1">
      <alignment horizontal="right"/>
    </xf>
    <xf numFmtId="0" fontId="25" fillId="0" borderId="46" xfId="0" applyFont="1" applyBorder="1" applyAlignment="1">
      <alignment horizontal="right"/>
    </xf>
    <xf numFmtId="0" fontId="30" fillId="0" borderId="41" xfId="0" applyFont="1" applyBorder="1"/>
    <xf numFmtId="0" fontId="31" fillId="0" borderId="26" xfId="0" applyFont="1" applyBorder="1" applyAlignment="1">
      <alignment horizontal="right"/>
    </xf>
    <xf numFmtId="0" fontId="0" fillId="0" borderId="43" xfId="0" applyBorder="1" applyAlignment="1">
      <alignment horizontal="right"/>
    </xf>
    <xf numFmtId="0" fontId="0" fillId="0" borderId="35" xfId="0" applyBorder="1" applyAlignment="1">
      <alignment horizontal="right"/>
    </xf>
    <xf numFmtId="0" fontId="0" fillId="0" borderId="36" xfId="0" applyBorder="1" applyAlignment="1">
      <alignment horizontal="right"/>
    </xf>
    <xf numFmtId="0" fontId="0" fillId="0" borderId="41" xfId="0" applyBorder="1" applyAlignment="1">
      <alignment horizontal="right"/>
    </xf>
    <xf numFmtId="0" fontId="19" fillId="0" borderId="46" xfId="0" applyFont="1" applyBorder="1"/>
    <xf numFmtId="0" fontId="19" fillId="0" borderId="46" xfId="0" applyFont="1" applyBorder="1" applyAlignment="1">
      <alignment horizontal="center"/>
    </xf>
    <xf numFmtId="0" fontId="0" fillId="0" borderId="29" xfId="0" applyBorder="1" applyAlignment="1">
      <alignment horizontal="right"/>
    </xf>
    <xf numFmtId="0" fontId="19" fillId="0" borderId="21" xfId="0" applyFont="1" applyBorder="1"/>
    <xf numFmtId="0" fontId="0" fillId="0" borderId="54" xfId="0" applyBorder="1"/>
    <xf numFmtId="0" fontId="0" fillId="0" borderId="48" xfId="0" applyBorder="1"/>
    <xf numFmtId="0" fontId="0" fillId="0" borderId="49" xfId="0" applyBorder="1"/>
    <xf numFmtId="0" fontId="19" fillId="0" borderId="8" xfId="0" applyFont="1" applyBorder="1"/>
    <xf numFmtId="0" fontId="19" fillId="0" borderId="56" xfId="0" applyFont="1" applyBorder="1"/>
    <xf numFmtId="0" fontId="0" fillId="0" borderId="59" xfId="0" applyBorder="1"/>
    <xf numFmtId="0" fontId="19" fillId="0" borderId="61" xfId="0" applyFont="1" applyBorder="1"/>
    <xf numFmtId="0" fontId="19" fillId="0" borderId="50" xfId="0" applyFont="1" applyBorder="1"/>
    <xf numFmtId="0" fontId="19" fillId="0" borderId="4" xfId="0" applyFont="1" applyBorder="1"/>
    <xf numFmtId="0" fontId="0" fillId="0" borderId="61" xfId="0" applyBorder="1"/>
    <xf numFmtId="0" fontId="0" fillId="0" borderId="43" xfId="0" applyBorder="1"/>
    <xf numFmtId="0" fontId="32" fillId="0" borderId="36" xfId="0" applyFont="1" applyBorder="1" applyAlignment="1">
      <alignment horizontal="center"/>
    </xf>
    <xf numFmtId="0" fontId="32" fillId="0" borderId="43" xfId="0" applyFont="1" applyBorder="1" applyAlignment="1">
      <alignment horizontal="center"/>
    </xf>
    <xf numFmtId="0" fontId="16" fillId="0" borderId="41" xfId="0" applyFont="1" applyBorder="1"/>
    <xf numFmtId="0" fontId="32" fillId="0" borderId="47" xfId="0" applyFont="1" applyBorder="1" applyAlignment="1">
      <alignment horizontal="center"/>
    </xf>
    <xf numFmtId="0" fontId="16" fillId="0" borderId="46" xfId="0" applyFont="1" applyBorder="1"/>
    <xf numFmtId="0" fontId="0" fillId="0" borderId="21" xfId="0" applyBorder="1"/>
    <xf numFmtId="0" fontId="25" fillId="0" borderId="0" xfId="0" applyFont="1"/>
    <xf numFmtId="0" fontId="15" fillId="0" borderId="0" xfId="0" applyFont="1"/>
    <xf numFmtId="0" fontId="0" fillId="0" borderId="64" xfId="0" applyBorder="1" applyAlignment="1">
      <alignment horizontal="center"/>
    </xf>
    <xf numFmtId="0" fontId="0" fillId="0" borderId="64" xfId="0" applyBorder="1"/>
    <xf numFmtId="0" fontId="33" fillId="0" borderId="0" xfId="0" applyFont="1" applyAlignment="1">
      <alignment horizontal="center"/>
    </xf>
    <xf numFmtId="0" fontId="34" fillId="0" borderId="0" xfId="0" applyFont="1"/>
    <xf numFmtId="0" fontId="22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 applyAlignment="1">
      <alignment horizontal="left"/>
    </xf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35" fillId="0" borderId="0" xfId="0" applyFont="1" applyAlignment="1">
      <alignment horizontal="left"/>
    </xf>
    <xf numFmtId="0" fontId="43" fillId="0" borderId="0" xfId="0" applyFont="1"/>
    <xf numFmtId="0" fontId="45" fillId="0" borderId="0" xfId="1"/>
    <xf numFmtId="0" fontId="47" fillId="0" borderId="0" xfId="0" applyFont="1"/>
    <xf numFmtId="164" fontId="0" fillId="0" borderId="38" xfId="0" applyNumberFormat="1" applyBorder="1" applyAlignment="1">
      <alignment horizontal="right"/>
    </xf>
    <xf numFmtId="0" fontId="0" fillId="0" borderId="45" xfId="0" applyBorder="1" applyAlignment="1">
      <alignment horizontal="right"/>
    </xf>
    <xf numFmtId="0" fontId="13" fillId="0" borderId="0" xfId="0" applyFont="1"/>
    <xf numFmtId="0" fontId="0" fillId="0" borderId="0" xfId="0" applyBorder="1"/>
    <xf numFmtId="0" fontId="0" fillId="0" borderId="0" xfId="0" applyBorder="1" applyAlignment="1">
      <alignment horizontal="right"/>
    </xf>
    <xf numFmtId="0" fontId="49" fillId="0" borderId="41" xfId="0" applyFont="1" applyBorder="1"/>
    <xf numFmtId="0" fontId="48" fillId="0" borderId="41" xfId="0" applyFont="1" applyBorder="1"/>
    <xf numFmtId="0" fontId="0" fillId="0" borderId="45" xfId="0" applyBorder="1" applyAlignment="1">
      <alignment horizontal="center"/>
    </xf>
    <xf numFmtId="0" fontId="0" fillId="0" borderId="17" xfId="0" applyBorder="1" applyAlignment="1">
      <alignment horizontal="right"/>
    </xf>
    <xf numFmtId="0" fontId="0" fillId="0" borderId="25" xfId="0" applyBorder="1"/>
    <xf numFmtId="0" fontId="25" fillId="0" borderId="41" xfId="0" applyFont="1" applyBorder="1" applyAlignment="1">
      <alignment horizontal="center"/>
    </xf>
    <xf numFmtId="0" fontId="19" fillId="0" borderId="25" xfId="0" applyFont="1" applyBorder="1"/>
    <xf numFmtId="10" fontId="0" fillId="0" borderId="41" xfId="0" applyNumberFormat="1" applyBorder="1"/>
    <xf numFmtId="0" fontId="19" fillId="0" borderId="0" xfId="0" applyFont="1" applyBorder="1"/>
    <xf numFmtId="0" fontId="16" fillId="0" borderId="0" xfId="0" applyFont="1" applyBorder="1"/>
    <xf numFmtId="0" fontId="0" fillId="0" borderId="29" xfId="0" applyBorder="1"/>
    <xf numFmtId="0" fontId="50" fillId="0" borderId="0" xfId="0" applyFont="1" applyAlignment="1">
      <alignment horizontal="center"/>
    </xf>
    <xf numFmtId="0" fontId="12" fillId="0" borderId="0" xfId="0" applyFont="1" applyBorder="1"/>
    <xf numFmtId="0" fontId="52" fillId="0" borderId="0" xfId="0" applyFont="1"/>
    <xf numFmtId="0" fontId="0" fillId="0" borderId="2" xfId="0" applyBorder="1" applyAlignment="1">
      <alignment horizontal="center"/>
    </xf>
    <xf numFmtId="0" fontId="10" fillId="0" borderId="14" xfId="0" applyFont="1" applyBorder="1"/>
    <xf numFmtId="0" fontId="0" fillId="0" borderId="24" xfId="0" applyBorder="1"/>
    <xf numFmtId="0" fontId="0" fillId="0" borderId="6" xfId="0" applyBorder="1"/>
    <xf numFmtId="0" fontId="10" fillId="0" borderId="28" xfId="0" applyFont="1" applyBorder="1"/>
    <xf numFmtId="0" fontId="10" fillId="0" borderId="28" xfId="0" applyFont="1" applyBorder="1" applyAlignment="1">
      <alignment horizontal="right"/>
    </xf>
    <xf numFmtId="0" fontId="10" fillId="0" borderId="6" xfId="0" applyFont="1" applyBorder="1" applyAlignment="1">
      <alignment horizontal="left"/>
    </xf>
    <xf numFmtId="0" fontId="19" fillId="0" borderId="35" xfId="0" applyFont="1" applyBorder="1" applyAlignment="1">
      <alignment horizontal="center" vertical="center"/>
    </xf>
    <xf numFmtId="0" fontId="19" fillId="0" borderId="36" xfId="0" applyFont="1" applyBorder="1"/>
    <xf numFmtId="0" fontId="19" fillId="0" borderId="35" xfId="0" applyFont="1" applyBorder="1" applyAlignment="1">
      <alignment horizontal="center" wrapText="1"/>
    </xf>
    <xf numFmtId="0" fontId="19" fillId="0" borderId="35" xfId="0" applyFont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57" xfId="0" applyBorder="1" applyAlignment="1">
      <alignment horizontal="center" vertical="center"/>
    </xf>
    <xf numFmtId="9" fontId="0" fillId="0" borderId="32" xfId="0" applyNumberFormat="1" applyBorder="1" applyAlignment="1">
      <alignment horizontal="center"/>
    </xf>
    <xf numFmtId="0" fontId="15" fillId="0" borderId="0" xfId="0" applyFont="1" applyAlignment="1"/>
    <xf numFmtId="0" fontId="0" fillId="0" borderId="50" xfId="0" applyBorder="1"/>
    <xf numFmtId="0" fontId="0" fillId="0" borderId="65" xfId="0" applyBorder="1"/>
    <xf numFmtId="0" fontId="0" fillId="0" borderId="66" xfId="0" applyBorder="1"/>
    <xf numFmtId="0" fontId="0" fillId="0" borderId="60" xfId="0" applyBorder="1"/>
    <xf numFmtId="0" fontId="0" fillId="0" borderId="70" xfId="0" applyBorder="1"/>
    <xf numFmtId="0" fontId="19" fillId="0" borderId="69" xfId="0" applyFont="1" applyBorder="1" applyAlignment="1">
      <alignment horizontal="center"/>
    </xf>
    <xf numFmtId="0" fontId="19" fillId="0" borderId="67" xfId="0" applyFont="1" applyBorder="1" applyAlignment="1">
      <alignment horizontal="center"/>
    </xf>
    <xf numFmtId="0" fontId="19" fillId="0" borderId="68" xfId="0" applyFont="1" applyBorder="1" applyAlignment="1">
      <alignment horizontal="center"/>
    </xf>
    <xf numFmtId="0" fontId="19" fillId="0" borderId="19" xfId="0" applyFont="1" applyBorder="1"/>
    <xf numFmtId="0" fontId="10" fillId="0" borderId="32" xfId="0" applyFont="1" applyBorder="1"/>
    <xf numFmtId="0" fontId="0" fillId="0" borderId="0" xfId="0" applyAlignment="1">
      <alignment horizontal="left"/>
    </xf>
    <xf numFmtId="0" fontId="0" fillId="0" borderId="0" xfId="0" applyFill="1"/>
    <xf numFmtId="0" fontId="9" fillId="0" borderId="0" xfId="0" applyFont="1" applyFill="1"/>
    <xf numFmtId="10" fontId="0" fillId="0" borderId="0" xfId="0" applyNumberFormat="1" applyFill="1"/>
    <xf numFmtId="2" fontId="9" fillId="0" borderId="4" xfId="0" applyNumberFormat="1" applyFont="1" applyBorder="1" applyAlignment="1">
      <alignment horizontal="right"/>
    </xf>
    <xf numFmtId="0" fontId="19" fillId="0" borderId="16" xfId="0" applyFont="1" applyFill="1" applyBorder="1" applyAlignment="1">
      <alignment horizontal="center"/>
    </xf>
    <xf numFmtId="0" fontId="19" fillId="0" borderId="17" xfId="0" applyFont="1" applyFill="1" applyBorder="1" applyAlignment="1">
      <alignment horizontal="center"/>
    </xf>
    <xf numFmtId="0" fontId="19" fillId="0" borderId="18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10" fontId="19" fillId="0" borderId="21" xfId="0" applyNumberFormat="1" applyFont="1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2" fontId="0" fillId="0" borderId="23" xfId="0" applyNumberFormat="1" applyFill="1" applyBorder="1" applyAlignment="1">
      <alignment horizontal="center"/>
    </xf>
    <xf numFmtId="2" fontId="0" fillId="0" borderId="58" xfId="0" applyNumberFormat="1" applyFill="1" applyBorder="1" applyAlignment="1">
      <alignment horizontal="center"/>
    </xf>
    <xf numFmtId="2" fontId="0" fillId="0" borderId="52" xfId="0" applyNumberFormat="1" applyFill="1" applyBorder="1" applyAlignment="1">
      <alignment horizontal="center"/>
    </xf>
    <xf numFmtId="2" fontId="0" fillId="0" borderId="46" xfId="0" applyNumberFormat="1" applyFill="1" applyBorder="1" applyAlignment="1">
      <alignment horizontal="center"/>
    </xf>
    <xf numFmtId="10" fontId="0" fillId="0" borderId="46" xfId="0" applyNumberFormat="1" applyFill="1" applyBorder="1"/>
    <xf numFmtId="2" fontId="0" fillId="0" borderId="26" xfId="0" applyNumberFormat="1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2" fontId="0" fillId="0" borderId="32" xfId="0" applyNumberFormat="1" applyFill="1" applyBorder="1" applyAlignment="1">
      <alignment horizontal="center"/>
    </xf>
    <xf numFmtId="2" fontId="0" fillId="0" borderId="47" xfId="0" applyNumberFormat="1" applyFill="1" applyBorder="1" applyAlignment="1">
      <alignment horizontal="center"/>
    </xf>
    <xf numFmtId="2" fontId="0" fillId="0" borderId="36" xfId="0" applyNumberFormat="1" applyFill="1" applyBorder="1" applyAlignment="1">
      <alignment horizontal="center"/>
    </xf>
    <xf numFmtId="2" fontId="0" fillId="0" borderId="21" xfId="0" applyNumberFormat="1" applyFill="1" applyBorder="1" applyAlignment="1">
      <alignment horizontal="center"/>
    </xf>
    <xf numFmtId="10" fontId="0" fillId="0" borderId="21" xfId="0" applyNumberFormat="1" applyFill="1" applyBorder="1"/>
    <xf numFmtId="0" fontId="0" fillId="0" borderId="46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9" fillId="0" borderId="4" xfId="0" applyFont="1" applyBorder="1"/>
    <xf numFmtId="1" fontId="0" fillId="0" borderId="38" xfId="0" applyNumberFormat="1" applyBorder="1" applyAlignment="1">
      <alignment horizontal="right"/>
    </xf>
    <xf numFmtId="1" fontId="0" fillId="0" borderId="38" xfId="0" applyNumberFormat="1" applyBorder="1"/>
    <xf numFmtId="0" fontId="19" fillId="0" borderId="16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8" fillId="0" borderId="42" xfId="0" applyFont="1" applyBorder="1"/>
    <xf numFmtId="9" fontId="0" fillId="0" borderId="23" xfId="0" applyNumberFormat="1" applyBorder="1" applyAlignment="1">
      <alignment horizontal="center"/>
    </xf>
    <xf numFmtId="2" fontId="0" fillId="0" borderId="38" xfId="0" applyNumberFormat="1" applyBorder="1" applyAlignment="1">
      <alignment horizontal="right"/>
    </xf>
    <xf numFmtId="1" fontId="0" fillId="0" borderId="41" xfId="0" applyNumberFormat="1" applyBorder="1" applyAlignment="1">
      <alignment horizontal="right"/>
    </xf>
    <xf numFmtId="0" fontId="19" fillId="0" borderId="29" xfId="0" applyFont="1" applyBorder="1" applyAlignment="1">
      <alignment horizontal="right"/>
    </xf>
    <xf numFmtId="2" fontId="19" fillId="0" borderId="32" xfId="0" applyNumberFormat="1" applyFont="1" applyBorder="1" applyAlignment="1">
      <alignment horizontal="right"/>
    </xf>
    <xf numFmtId="2" fontId="0" fillId="0" borderId="46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19" fillId="0" borderId="30" xfId="0" applyNumberFormat="1" applyFont="1" applyBorder="1" applyAlignment="1">
      <alignment horizontal="right"/>
    </xf>
    <xf numFmtId="2" fontId="19" fillId="0" borderId="31" xfId="0" applyNumberFormat="1" applyFont="1" applyBorder="1" applyAlignment="1">
      <alignment horizontal="right"/>
    </xf>
    <xf numFmtId="2" fontId="19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0" fontId="26" fillId="0" borderId="0" xfId="0" applyFont="1"/>
    <xf numFmtId="1" fontId="26" fillId="0" borderId="38" xfId="0" applyNumberFormat="1" applyFont="1" applyBorder="1" applyAlignment="1">
      <alignment horizontal="right"/>
    </xf>
    <xf numFmtId="1" fontId="26" fillId="0" borderId="0" xfId="0" applyNumberFormat="1" applyFont="1" applyAlignment="1">
      <alignment horizontal="right"/>
    </xf>
    <xf numFmtId="1" fontId="19" fillId="0" borderId="26" xfId="0" applyNumberFormat="1" applyFont="1" applyBorder="1"/>
    <xf numFmtId="1" fontId="19" fillId="0" borderId="2" xfId="0" applyNumberFormat="1" applyFont="1" applyBorder="1"/>
    <xf numFmtId="0" fontId="19" fillId="0" borderId="31" xfId="0" applyFont="1" applyBorder="1" applyAlignment="1">
      <alignment horizontal="right"/>
    </xf>
    <xf numFmtId="0" fontId="5" fillId="0" borderId="0" xfId="0" applyFont="1" applyBorder="1"/>
    <xf numFmtId="0" fontId="4" fillId="0" borderId="0" xfId="0" applyFont="1" applyFill="1" applyBorder="1"/>
    <xf numFmtId="0" fontId="4" fillId="0" borderId="24" xfId="0" applyFont="1" applyBorder="1"/>
    <xf numFmtId="0" fontId="4" fillId="0" borderId="71" xfId="0" applyFont="1" applyBorder="1" applyAlignment="1">
      <alignment horizontal="left"/>
    </xf>
    <xf numFmtId="0" fontId="4" fillId="0" borderId="32" xfId="0" applyFont="1" applyBorder="1"/>
    <xf numFmtId="0" fontId="16" fillId="0" borderId="0" xfId="0" applyFont="1" applyAlignment="1">
      <alignment horizontal="center"/>
    </xf>
    <xf numFmtId="0" fontId="3" fillId="0" borderId="42" xfId="0" applyFont="1" applyBorder="1"/>
    <xf numFmtId="0" fontId="2" fillId="0" borderId="0" xfId="0" applyFont="1" applyBorder="1"/>
    <xf numFmtId="0" fontId="44" fillId="0" borderId="0" xfId="0" applyFont="1" applyAlignment="1">
      <alignment horizontal="left" wrapText="1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6" fillId="0" borderId="0" xfId="0" applyFont="1" applyBorder="1" applyAlignment="1">
      <alignment horizontal="left" vertical="top" wrapText="1"/>
    </xf>
    <xf numFmtId="0" fontId="26" fillId="0" borderId="46" xfId="0" applyFont="1" applyBorder="1" applyAlignment="1">
      <alignment horizontal="left" vertical="top" wrapText="1"/>
    </xf>
    <xf numFmtId="0" fontId="15" fillId="0" borderId="45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6" fillId="0" borderId="44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24" fillId="0" borderId="4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46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34" xfId="0" applyFont="1" applyBorder="1" applyAlignment="1">
      <alignment horizontal="center" vertical="top"/>
    </xf>
    <xf numFmtId="0" fontId="19" fillId="0" borderId="52" xfId="0" applyFont="1" applyBorder="1" applyAlignment="1">
      <alignment horizontal="center" vertical="top"/>
    </xf>
    <xf numFmtId="0" fontId="19" fillId="0" borderId="53" xfId="0" applyFont="1" applyBorder="1" applyAlignment="1">
      <alignment horizontal="center" vertical="top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19" fillId="0" borderId="5" xfId="0" applyFont="1" applyBorder="1" applyAlignment="1">
      <alignment horizontal="right"/>
    </xf>
    <xf numFmtId="0" fontId="19" fillId="0" borderId="6" xfId="0" applyFont="1" applyBorder="1" applyAlignment="1">
      <alignment horizontal="right"/>
    </xf>
    <xf numFmtId="0" fontId="19" fillId="0" borderId="7" xfId="0" applyFont="1" applyBorder="1" applyAlignment="1">
      <alignment horizontal="right"/>
    </xf>
    <xf numFmtId="0" fontId="0" fillId="0" borderId="57" xfId="0" applyBorder="1" applyAlignment="1">
      <alignment horizontal="center" vertical="top"/>
    </xf>
    <xf numFmtId="0" fontId="0" fillId="0" borderId="52" xfId="0" applyBorder="1" applyAlignment="1">
      <alignment horizontal="center" vertical="top"/>
    </xf>
    <xf numFmtId="0" fontId="0" fillId="0" borderId="58" xfId="0" applyBorder="1" applyAlignment="1">
      <alignment horizontal="center" vertical="top"/>
    </xf>
    <xf numFmtId="0" fontId="19" fillId="0" borderId="4" xfId="0" applyFont="1" applyBorder="1" applyAlignment="1">
      <alignment horizontal="center"/>
    </xf>
    <xf numFmtId="0" fontId="0" fillId="0" borderId="4" xfId="0" applyBorder="1" applyAlignment="1">
      <alignment horizontal="right"/>
    </xf>
    <xf numFmtId="0" fontId="7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9" xfId="0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40" xfId="0" applyFont="1" applyBorder="1" applyAlignment="1">
      <alignment horizontal="right"/>
    </xf>
    <xf numFmtId="0" fontId="19" fillId="0" borderId="31" xfId="0" applyFont="1" applyBorder="1" applyAlignment="1">
      <alignment horizontal="right"/>
    </xf>
    <xf numFmtId="0" fontId="19" fillId="0" borderId="60" xfId="0" applyFont="1" applyBorder="1" applyAlignment="1">
      <alignment horizontal="right"/>
    </xf>
    <xf numFmtId="0" fontId="0" fillId="0" borderId="51" xfId="0" applyBorder="1" applyAlignment="1">
      <alignment horizontal="center" vertical="top"/>
    </xf>
    <xf numFmtId="0" fontId="0" fillId="0" borderId="55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0" fillId="0" borderId="44" xfId="0" applyBorder="1" applyAlignment="1">
      <alignment horizontal="center" vertical="top"/>
    </xf>
    <xf numFmtId="0" fontId="0" fillId="0" borderId="37" xfId="0" applyBorder="1" applyAlignment="1">
      <alignment horizontal="center" vertical="top"/>
    </xf>
    <xf numFmtId="0" fontId="0" fillId="0" borderId="62" xfId="0" applyBorder="1" applyAlignment="1">
      <alignment horizontal="center" vertical="top"/>
    </xf>
    <xf numFmtId="0" fontId="0" fillId="0" borderId="63" xfId="0" applyBorder="1" applyAlignment="1">
      <alignment horizontal="center" vertical="top"/>
    </xf>
    <xf numFmtId="0" fontId="0" fillId="0" borderId="28" xfId="0" applyBorder="1" applyAlignment="1">
      <alignment horizontal="center"/>
    </xf>
    <xf numFmtId="0" fontId="0" fillId="0" borderId="46" xfId="0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6" xfId="0" applyBorder="1" applyAlignment="1">
      <alignment horizontal="center"/>
    </xf>
    <xf numFmtId="0" fontId="5" fillId="0" borderId="0" xfId="0" applyFont="1" applyAlignment="1">
      <alignment horizontal="center"/>
    </xf>
    <xf numFmtId="0" fontId="19" fillId="0" borderId="45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33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41" xfId="0" applyBorder="1" applyAlignment="1">
      <alignment horizontal="left"/>
    </xf>
    <xf numFmtId="0" fontId="0" fillId="0" borderId="0" xfId="0" applyAlignment="1">
      <alignment horizontal="left"/>
    </xf>
    <xf numFmtId="0" fontId="19" fillId="0" borderId="3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0" borderId="20" xfId="0" applyFont="1" applyBorder="1" applyAlignment="1">
      <alignment horizontal="center"/>
    </xf>
    <xf numFmtId="0" fontId="5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7" xfId="0" applyBorder="1" applyAlignment="1">
      <alignment horizontal="center"/>
    </xf>
    <xf numFmtId="0" fontId="19" fillId="0" borderId="43" xfId="0" applyFont="1" applyBorder="1" applyAlignment="1">
      <alignment horizontal="center"/>
    </xf>
    <xf numFmtId="0" fontId="19" fillId="0" borderId="36" xfId="0" applyFont="1" applyBorder="1" applyAlignment="1">
      <alignment horizontal="center"/>
    </xf>
    <xf numFmtId="0" fontId="19" fillId="0" borderId="41" xfId="0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7" fillId="0" borderId="9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10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4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5"/>
  <sheetViews>
    <sheetView workbookViewId="0">
      <selection activeCell="A6" sqref="A6"/>
    </sheetView>
  </sheetViews>
  <sheetFormatPr defaultColWidth="8.81640625" defaultRowHeight="13"/>
  <cols>
    <col min="1" max="1" width="16.453125" style="175" customWidth="1"/>
    <col min="2" max="6" width="12.1796875" style="175" customWidth="1"/>
    <col min="7" max="7" width="11.7265625" style="175" customWidth="1"/>
    <col min="8" max="16384" width="8.81640625" style="175"/>
  </cols>
  <sheetData>
    <row r="2" spans="1:3" ht="13.5">
      <c r="A2" s="176" t="s">
        <v>0</v>
      </c>
    </row>
    <row r="3" spans="1:3" ht="32.5">
      <c r="A3" s="181" t="s">
        <v>302</v>
      </c>
    </row>
    <row r="4" spans="1:3">
      <c r="A4" s="177"/>
    </row>
    <row r="5" spans="1:3">
      <c r="A5" s="175" t="s">
        <v>318</v>
      </c>
    </row>
    <row r="6" spans="1:3">
      <c r="A6" s="175" t="s">
        <v>317</v>
      </c>
    </row>
    <row r="7" spans="1:3">
      <c r="A7" s="177"/>
    </row>
    <row r="8" spans="1:3">
      <c r="C8" s="178"/>
    </row>
    <row r="10" spans="1:3" ht="34.5">
      <c r="A10" s="179" t="s">
        <v>1</v>
      </c>
      <c r="C10" s="180"/>
    </row>
    <row r="13" spans="1:3" ht="32.5">
      <c r="A13" s="181" t="s">
        <v>2</v>
      </c>
      <c r="C13" s="180"/>
    </row>
    <row r="14" spans="1:3">
      <c r="C14" s="180"/>
    </row>
    <row r="15" spans="1:3" ht="23">
      <c r="A15" s="182" t="s">
        <v>256</v>
      </c>
    </row>
    <row r="16" spans="1:3">
      <c r="A16" s="183"/>
    </row>
    <row r="17" spans="1:7" ht="15.5">
      <c r="A17" s="184"/>
    </row>
    <row r="18" spans="1:7">
      <c r="A18" s="183"/>
      <c r="B18" s="183"/>
    </row>
    <row r="20" spans="1:7">
      <c r="A20" s="177"/>
    </row>
    <row r="21" spans="1:7" ht="15.75" customHeight="1"/>
    <row r="22" spans="1:7" ht="68.25" customHeight="1">
      <c r="A22" s="292" t="s">
        <v>308</v>
      </c>
      <c r="B22" s="292"/>
      <c r="C22" s="292"/>
      <c r="D22" s="292"/>
      <c r="E22" s="292"/>
      <c r="F22" s="292"/>
      <c r="G22" s="292"/>
    </row>
    <row r="23" spans="1:7" ht="12.75" customHeight="1">
      <c r="A23" s="292" t="s">
        <v>3</v>
      </c>
      <c r="B23" s="292"/>
      <c r="C23" s="292"/>
      <c r="D23" s="292"/>
      <c r="E23" s="292"/>
      <c r="F23" s="292"/>
      <c r="G23" s="292"/>
    </row>
    <row r="24" spans="1:7" ht="15.5">
      <c r="A24" s="292" t="s">
        <v>4</v>
      </c>
      <c r="B24" s="292"/>
      <c r="C24" s="292"/>
      <c r="D24" s="292"/>
      <c r="E24" s="292"/>
      <c r="F24" s="292"/>
      <c r="G24" s="292"/>
    </row>
    <row r="27" spans="1:7">
      <c r="A27" s="183"/>
    </row>
    <row r="29" spans="1:7">
      <c r="E29" s="177"/>
    </row>
    <row r="30" spans="1:7">
      <c r="E30" s="177"/>
    </row>
    <row r="35" spans="6:6">
      <c r="F35" s="185"/>
    </row>
  </sheetData>
  <mergeCells count="3">
    <mergeCell ref="A22:G22"/>
    <mergeCell ref="A23:G23"/>
    <mergeCell ref="A24:G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4"/>
  <sheetViews>
    <sheetView topLeftCell="A10" workbookViewId="0">
      <selection activeCell="B7" sqref="B7"/>
    </sheetView>
  </sheetViews>
  <sheetFormatPr defaultColWidth="9" defaultRowHeight="14.5"/>
  <cols>
    <col min="1" max="1" width="24.26953125" style="1" customWidth="1"/>
    <col min="2" max="2" width="43.7265625" customWidth="1"/>
    <col min="3" max="3" width="13.453125" style="1" customWidth="1"/>
  </cols>
  <sheetData>
    <row r="2" spans="1:8" ht="18.5">
      <c r="B2" s="293"/>
      <c r="C2" s="293"/>
      <c r="D2" s="293"/>
      <c r="E2" s="293"/>
      <c r="F2" s="293"/>
      <c r="G2" s="293"/>
      <c r="H2" s="293"/>
    </row>
    <row r="3" spans="1:8">
      <c r="B3" s="294"/>
      <c r="C3" s="294"/>
      <c r="D3" s="294"/>
      <c r="E3" s="294"/>
      <c r="F3" s="294"/>
      <c r="G3" s="294"/>
      <c r="H3" s="294"/>
    </row>
    <row r="4" spans="1:8" ht="13.5" customHeight="1">
      <c r="B4" s="295"/>
      <c r="C4" s="295"/>
      <c r="D4" s="295"/>
      <c r="E4" s="295"/>
      <c r="F4" s="295"/>
      <c r="G4" s="295"/>
      <c r="H4" s="295"/>
    </row>
    <row r="5" spans="1:8" ht="18.5">
      <c r="A5" s="106"/>
      <c r="B5" s="203" t="s">
        <v>302</v>
      </c>
      <c r="C5" s="169"/>
      <c r="D5" s="169"/>
      <c r="E5" s="169"/>
      <c r="F5" s="169"/>
      <c r="G5" s="169"/>
    </row>
    <row r="6" spans="1:8" s="168" customFormat="1" ht="15.5">
      <c r="A6" s="36"/>
      <c r="B6" s="422" t="s">
        <v>319</v>
      </c>
      <c r="C6" s="36"/>
      <c r="D6" s="36"/>
      <c r="E6" s="36"/>
      <c r="F6" s="36"/>
      <c r="G6" s="36"/>
    </row>
    <row r="7" spans="1:8" s="168" customFormat="1" ht="15.5">
      <c r="A7" s="36"/>
      <c r="B7" s="289" t="s">
        <v>325</v>
      </c>
      <c r="C7" s="36"/>
      <c r="D7" s="36"/>
      <c r="E7" s="36"/>
      <c r="F7" s="36"/>
      <c r="G7" s="36"/>
    </row>
    <row r="8" spans="1:8">
      <c r="A8" s="170"/>
      <c r="B8" s="171"/>
      <c r="C8" s="170"/>
    </row>
    <row r="14" spans="1:8" ht="28.5">
      <c r="B14" s="172" t="s">
        <v>5</v>
      </c>
    </row>
    <row r="15" spans="1:8" ht="28.5">
      <c r="B15" s="172"/>
    </row>
    <row r="17" spans="1:14" ht="15.5">
      <c r="A17" s="64" t="s">
        <v>6</v>
      </c>
      <c r="B17" s="64" t="s">
        <v>7</v>
      </c>
      <c r="C17" s="64" t="s">
        <v>8</v>
      </c>
    </row>
    <row r="18" spans="1:14" ht="15.5">
      <c r="B18" s="77" t="s">
        <v>9</v>
      </c>
      <c r="G18" s="296"/>
      <c r="H18" s="296"/>
      <c r="I18" s="296"/>
      <c r="J18" s="296"/>
      <c r="K18" s="296"/>
      <c r="L18" s="296"/>
      <c r="M18" s="296"/>
      <c r="N18" s="296"/>
    </row>
    <row r="20" spans="1:14">
      <c r="A20" s="1">
        <v>1</v>
      </c>
      <c r="B20" t="s">
        <v>10</v>
      </c>
      <c r="C20" s="1">
        <v>1</v>
      </c>
    </row>
    <row r="21" spans="1:14">
      <c r="A21" s="1">
        <v>2</v>
      </c>
      <c r="B21" t="s">
        <v>11</v>
      </c>
      <c r="C21" s="1">
        <v>2</v>
      </c>
    </row>
    <row r="22" spans="1:14">
      <c r="A22" s="1">
        <v>3</v>
      </c>
      <c r="B22" t="s">
        <v>290</v>
      </c>
      <c r="C22" s="1">
        <v>3</v>
      </c>
    </row>
    <row r="23" spans="1:14">
      <c r="A23" s="1">
        <v>4</v>
      </c>
      <c r="B23" t="s">
        <v>291</v>
      </c>
      <c r="C23" s="1">
        <v>4</v>
      </c>
    </row>
    <row r="24" spans="1:14">
      <c r="A24" s="1">
        <v>5</v>
      </c>
      <c r="B24" t="s">
        <v>12</v>
      </c>
      <c r="C24" s="1">
        <v>5</v>
      </c>
    </row>
    <row r="25" spans="1:14">
      <c r="A25" s="1">
        <v>6</v>
      </c>
      <c r="B25" t="s">
        <v>292</v>
      </c>
      <c r="C25" s="1">
        <v>6</v>
      </c>
    </row>
    <row r="26" spans="1:14">
      <c r="A26" s="1">
        <v>7</v>
      </c>
      <c r="B26" s="277" t="s">
        <v>13</v>
      </c>
      <c r="C26" s="1">
        <v>7</v>
      </c>
    </row>
    <row r="27" spans="1:14">
      <c r="A27" s="1">
        <v>8</v>
      </c>
      <c r="B27" t="s">
        <v>14</v>
      </c>
      <c r="C27" s="1">
        <v>8</v>
      </c>
    </row>
    <row r="28" spans="1:14">
      <c r="A28" s="1">
        <v>9</v>
      </c>
      <c r="B28" t="s">
        <v>249</v>
      </c>
      <c r="C28" s="1">
        <v>11</v>
      </c>
    </row>
    <row r="29" spans="1:14">
      <c r="A29" s="1">
        <v>10</v>
      </c>
      <c r="B29" t="s">
        <v>293</v>
      </c>
      <c r="C29" s="1">
        <v>12</v>
      </c>
    </row>
    <row r="30" spans="1:14">
      <c r="B30" s="36" t="s">
        <v>15</v>
      </c>
    </row>
    <row r="31" spans="1:14" ht="17.25" customHeight="1">
      <c r="A31" s="1">
        <v>11</v>
      </c>
      <c r="B31" s="278" t="s">
        <v>16</v>
      </c>
      <c r="C31" s="1">
        <v>14</v>
      </c>
      <c r="H31" s="297"/>
      <c r="I31" s="297"/>
      <c r="J31" s="297"/>
      <c r="K31" s="297"/>
      <c r="L31" s="297"/>
      <c r="M31" s="297"/>
    </row>
    <row r="32" spans="1:14">
      <c r="B32" s="173"/>
    </row>
    <row r="33" spans="2:7" ht="21">
      <c r="B33" s="173"/>
      <c r="C33" s="103"/>
      <c r="D33" s="174"/>
      <c r="E33" s="174"/>
      <c r="F33" s="174"/>
      <c r="G33" s="174"/>
    </row>
    <row r="34" spans="2:7">
      <c r="B34" s="173"/>
    </row>
  </sheetData>
  <mergeCells count="5">
    <mergeCell ref="B2:H2"/>
    <mergeCell ref="B3:H3"/>
    <mergeCell ref="B4:H4"/>
    <mergeCell ref="G18:N18"/>
    <mergeCell ref="H31:M3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0"/>
  <sheetViews>
    <sheetView tabSelected="1" workbookViewId="0">
      <selection activeCell="H24" sqref="H24"/>
    </sheetView>
  </sheetViews>
  <sheetFormatPr defaultColWidth="9" defaultRowHeight="14.5"/>
  <cols>
    <col min="3" max="3" width="6.1796875" customWidth="1"/>
    <col min="4" max="4" width="2.453125" hidden="1" customWidth="1"/>
    <col min="5" max="5" width="0.453125" hidden="1" customWidth="1"/>
    <col min="12" max="12" width="20.7265625" customWidth="1"/>
  </cols>
  <sheetData>
    <row r="1" spans="1:17" ht="29.25" customHeight="1" thickBot="1">
      <c r="A1" s="161"/>
      <c r="B1" s="162"/>
      <c r="C1" s="162"/>
      <c r="D1" s="162"/>
      <c r="E1" s="162"/>
      <c r="F1" s="162"/>
      <c r="G1" s="163" t="s">
        <v>17</v>
      </c>
      <c r="H1" s="162"/>
      <c r="I1" s="162"/>
      <c r="J1" s="162"/>
      <c r="K1" s="162"/>
      <c r="L1" s="165"/>
    </row>
    <row r="2" spans="1:17">
      <c r="A2" s="96"/>
      <c r="B2" s="84"/>
      <c r="C2" s="84"/>
      <c r="D2" s="84"/>
      <c r="E2" s="84"/>
      <c r="F2" s="84"/>
      <c r="G2" s="84"/>
      <c r="H2" s="84"/>
      <c r="I2" s="84"/>
      <c r="J2" s="84"/>
      <c r="K2" s="84"/>
      <c r="L2" s="85"/>
    </row>
    <row r="3" spans="1:17">
      <c r="A3" s="65" t="s">
        <v>18</v>
      </c>
      <c r="B3" s="200"/>
      <c r="C3" s="190"/>
      <c r="D3" s="190"/>
      <c r="E3" s="190"/>
      <c r="F3" s="298" t="s">
        <v>335</v>
      </c>
      <c r="G3" s="298"/>
      <c r="H3" s="298"/>
      <c r="I3" s="298"/>
      <c r="J3" s="298"/>
      <c r="K3" s="298"/>
      <c r="L3" s="299"/>
    </row>
    <row r="4" spans="1:17">
      <c r="A4" s="65"/>
      <c r="B4" s="200"/>
      <c r="C4" s="190"/>
      <c r="D4" s="190"/>
      <c r="E4" s="190"/>
      <c r="F4" s="298"/>
      <c r="G4" s="298"/>
      <c r="H4" s="298"/>
      <c r="I4" s="298"/>
      <c r="J4" s="298"/>
      <c r="K4" s="298"/>
      <c r="L4" s="299"/>
    </row>
    <row r="5" spans="1:17">
      <c r="A5" s="65"/>
      <c r="B5" s="200"/>
      <c r="C5" s="190"/>
      <c r="D5" s="190"/>
      <c r="E5" s="190"/>
      <c r="F5" s="298"/>
      <c r="G5" s="298"/>
      <c r="H5" s="298"/>
      <c r="I5" s="298"/>
      <c r="J5" s="298"/>
      <c r="K5" s="298"/>
      <c r="L5" s="299"/>
    </row>
    <row r="6" spans="1:17">
      <c r="A6" s="65"/>
      <c r="B6" s="200"/>
      <c r="C6" s="190"/>
      <c r="D6" s="190"/>
      <c r="E6" s="190"/>
      <c r="F6" s="298"/>
      <c r="G6" s="298"/>
      <c r="H6" s="298"/>
      <c r="I6" s="298"/>
      <c r="J6" s="298"/>
      <c r="K6" s="298"/>
      <c r="L6" s="299"/>
    </row>
    <row r="7" spans="1:17">
      <c r="A7" s="58"/>
      <c r="B7" s="190"/>
      <c r="C7" s="190"/>
      <c r="D7" s="190"/>
      <c r="E7" s="190"/>
      <c r="F7" s="298"/>
      <c r="G7" s="298"/>
      <c r="H7" s="298"/>
      <c r="I7" s="298"/>
      <c r="J7" s="298"/>
      <c r="K7" s="298"/>
      <c r="L7" s="299"/>
    </row>
    <row r="8" spans="1:17">
      <c r="A8" s="58"/>
      <c r="B8" s="190"/>
      <c r="C8" s="190"/>
      <c r="D8" s="190"/>
      <c r="E8" s="190"/>
      <c r="F8" s="298"/>
      <c r="G8" s="298"/>
      <c r="H8" s="298"/>
      <c r="I8" s="298"/>
      <c r="J8" s="298"/>
      <c r="K8" s="298"/>
      <c r="L8" s="299"/>
    </row>
    <row r="9" spans="1:17">
      <c r="A9" s="58"/>
      <c r="B9" s="190"/>
      <c r="C9" s="190"/>
      <c r="D9" s="190"/>
      <c r="E9" s="190"/>
      <c r="F9" s="298"/>
      <c r="G9" s="298"/>
      <c r="H9" s="298"/>
      <c r="I9" s="298"/>
      <c r="J9" s="298"/>
      <c r="K9" s="298"/>
      <c r="L9" s="299"/>
    </row>
    <row r="10" spans="1:17" ht="48.75" customHeight="1">
      <c r="A10" s="58"/>
      <c r="B10" s="190"/>
      <c r="C10" s="190"/>
      <c r="D10" s="190"/>
      <c r="E10" s="190"/>
      <c r="F10" s="298"/>
      <c r="G10" s="298"/>
      <c r="H10" s="298"/>
      <c r="I10" s="298"/>
      <c r="J10" s="298"/>
      <c r="K10" s="298"/>
      <c r="L10" s="299"/>
      <c r="Q10" s="231"/>
    </row>
    <row r="11" spans="1:17">
      <c r="A11" s="58"/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86"/>
    </row>
    <row r="12" spans="1:17">
      <c r="A12" s="65" t="s">
        <v>19</v>
      </c>
      <c r="B12" s="200"/>
      <c r="C12" s="190"/>
      <c r="D12" s="190"/>
      <c r="E12" s="190"/>
      <c r="F12" s="200" t="s">
        <v>257</v>
      </c>
      <c r="G12" s="190"/>
      <c r="H12" s="190"/>
      <c r="I12" s="190"/>
      <c r="J12" s="190"/>
      <c r="K12" s="190"/>
      <c r="L12" s="86"/>
    </row>
    <row r="13" spans="1:17">
      <c r="A13" s="65" t="s">
        <v>20</v>
      </c>
      <c r="B13" s="200"/>
      <c r="C13" s="190"/>
      <c r="D13" s="190"/>
      <c r="E13" s="190"/>
      <c r="F13" s="204" t="s">
        <v>303</v>
      </c>
      <c r="G13" s="190"/>
      <c r="H13" s="190"/>
      <c r="I13" s="190"/>
      <c r="J13" s="190"/>
      <c r="K13" s="190"/>
      <c r="L13" s="86"/>
    </row>
    <row r="14" spans="1:17">
      <c r="A14" s="65" t="s">
        <v>250</v>
      </c>
      <c r="B14" s="200"/>
      <c r="C14" s="190"/>
      <c r="D14" s="190"/>
      <c r="E14" s="190"/>
      <c r="F14" s="291" t="s">
        <v>309</v>
      </c>
      <c r="G14" s="190"/>
      <c r="H14" s="190"/>
      <c r="I14" s="190"/>
      <c r="J14" s="190"/>
      <c r="K14" s="190"/>
      <c r="L14" s="86"/>
    </row>
    <row r="15" spans="1:17">
      <c r="A15" s="65" t="s">
        <v>22</v>
      </c>
      <c r="B15" s="200"/>
      <c r="C15" s="190"/>
      <c r="D15" s="190"/>
      <c r="E15" s="190"/>
      <c r="F15" s="291" t="s">
        <v>310</v>
      </c>
      <c r="G15" s="190"/>
      <c r="H15" s="190"/>
      <c r="I15" s="200"/>
      <c r="J15" s="190"/>
      <c r="K15" s="190"/>
      <c r="L15" s="86"/>
    </row>
    <row r="16" spans="1:17">
      <c r="A16" s="65" t="s">
        <v>311</v>
      </c>
      <c r="B16" s="200"/>
      <c r="C16" s="190"/>
      <c r="D16" s="190"/>
      <c r="E16" s="190"/>
      <c r="F16" s="291" t="s">
        <v>312</v>
      </c>
      <c r="G16" s="190"/>
      <c r="H16" s="190"/>
      <c r="I16" s="190"/>
      <c r="J16" s="190"/>
      <c r="K16" s="190"/>
      <c r="L16" s="86"/>
    </row>
    <row r="17" spans="1:12">
      <c r="A17" s="65" t="s">
        <v>253</v>
      </c>
      <c r="B17" s="200"/>
      <c r="C17" s="190"/>
      <c r="D17" s="190"/>
      <c r="E17" s="190"/>
      <c r="F17" s="291" t="s">
        <v>313</v>
      </c>
      <c r="G17" s="190"/>
      <c r="H17" s="190"/>
      <c r="I17" s="190"/>
      <c r="J17" s="190"/>
      <c r="K17" s="190"/>
      <c r="L17" s="86"/>
    </row>
    <row r="18" spans="1:12" ht="15" customHeight="1">
      <c r="A18" s="65" t="s">
        <v>23</v>
      </c>
      <c r="B18" s="200"/>
      <c r="C18" s="190"/>
      <c r="D18" s="190"/>
      <c r="E18" s="190"/>
      <c r="F18" s="421" t="s">
        <v>320</v>
      </c>
      <c r="G18" s="190"/>
      <c r="H18" s="190"/>
      <c r="I18" s="190"/>
      <c r="J18" s="190"/>
      <c r="K18" s="190"/>
      <c r="L18" s="86"/>
    </row>
    <row r="19" spans="1:12" ht="15" customHeight="1">
      <c r="A19" s="65"/>
      <c r="B19" s="200"/>
      <c r="C19" s="190"/>
      <c r="D19" s="190"/>
      <c r="E19" s="190"/>
      <c r="F19" s="284" t="s">
        <v>326</v>
      </c>
      <c r="G19" s="190"/>
      <c r="H19" s="190"/>
      <c r="I19" s="190"/>
      <c r="J19" s="190"/>
      <c r="K19" s="190"/>
      <c r="L19" s="86"/>
    </row>
    <row r="20" spans="1:12">
      <c r="A20" s="65" t="s">
        <v>254</v>
      </c>
      <c r="B20" s="200"/>
      <c r="C20" s="190"/>
      <c r="D20" s="190"/>
      <c r="E20" s="190"/>
      <c r="F20" s="291" t="s">
        <v>314</v>
      </c>
      <c r="G20" s="190"/>
      <c r="H20" s="190"/>
      <c r="I20" s="190"/>
      <c r="J20" s="190"/>
      <c r="K20" s="190"/>
      <c r="L20" s="86"/>
    </row>
    <row r="21" spans="1:12">
      <c r="A21" s="65"/>
      <c r="B21" s="200"/>
      <c r="C21" s="190"/>
      <c r="D21" s="190"/>
      <c r="E21" s="190"/>
      <c r="F21" s="190"/>
      <c r="G21" s="190"/>
      <c r="H21" s="190"/>
      <c r="I21" s="190"/>
      <c r="J21" s="190"/>
      <c r="K21" s="190"/>
      <c r="L21" s="86"/>
    </row>
    <row r="22" spans="1:12">
      <c r="A22" s="65" t="s">
        <v>24</v>
      </c>
      <c r="B22" s="200"/>
      <c r="C22" s="190"/>
      <c r="D22" s="190"/>
      <c r="E22" s="190"/>
      <c r="F22" s="190" t="s">
        <v>336</v>
      </c>
      <c r="G22" s="190"/>
      <c r="H22" s="190"/>
      <c r="I22" s="190"/>
      <c r="J22" s="190"/>
      <c r="K22" s="190"/>
      <c r="L22" s="86"/>
    </row>
    <row r="23" spans="1:12">
      <c r="A23" s="65"/>
      <c r="B23" s="200"/>
      <c r="C23" s="190"/>
      <c r="D23" s="190"/>
      <c r="E23" s="190"/>
      <c r="F23" s="190"/>
      <c r="G23" s="190"/>
      <c r="H23" s="190"/>
      <c r="I23" s="190"/>
      <c r="J23" s="190"/>
      <c r="K23" s="190"/>
      <c r="L23" s="86"/>
    </row>
    <row r="24" spans="1:12">
      <c r="A24" s="65" t="s">
        <v>25</v>
      </c>
      <c r="B24" s="200"/>
      <c r="C24" s="190"/>
      <c r="D24" s="190"/>
      <c r="E24" s="190"/>
      <c r="F24" s="291" t="s">
        <v>315</v>
      </c>
      <c r="G24" s="190"/>
      <c r="H24" s="190"/>
      <c r="I24" s="190"/>
      <c r="J24" s="190"/>
      <c r="K24" s="190"/>
      <c r="L24" s="86"/>
    </row>
    <row r="25" spans="1:12">
      <c r="A25" s="65" t="s">
        <v>26</v>
      </c>
      <c r="B25" s="200"/>
      <c r="C25" s="190"/>
      <c r="D25" s="190"/>
      <c r="E25" s="190"/>
      <c r="F25" s="190" t="s">
        <v>296</v>
      </c>
      <c r="G25" s="190"/>
      <c r="H25" s="190"/>
      <c r="I25" s="190"/>
      <c r="J25" s="190"/>
      <c r="K25" s="190"/>
      <c r="L25" s="86"/>
    </row>
    <row r="26" spans="1:12">
      <c r="A26" s="65"/>
      <c r="B26" s="200"/>
      <c r="C26" s="190"/>
      <c r="D26" s="190"/>
      <c r="E26" s="190"/>
      <c r="F26" s="190"/>
      <c r="G26" s="190"/>
      <c r="H26" s="190"/>
      <c r="I26" s="190"/>
      <c r="J26" s="190"/>
      <c r="K26" s="190"/>
      <c r="L26" s="86"/>
    </row>
    <row r="27" spans="1:12">
      <c r="A27" s="65" t="s">
        <v>27</v>
      </c>
      <c r="B27" s="200"/>
      <c r="C27" s="190"/>
      <c r="D27" s="190"/>
      <c r="E27" s="190"/>
      <c r="F27" s="190"/>
      <c r="G27" s="190"/>
      <c r="H27" s="190"/>
      <c r="I27" s="190"/>
      <c r="J27" s="190"/>
      <c r="K27" s="190"/>
      <c r="L27" s="86"/>
    </row>
    <row r="28" spans="1:12">
      <c r="A28" s="65" t="s">
        <v>28</v>
      </c>
      <c r="B28" s="200"/>
      <c r="C28" s="190"/>
      <c r="D28" s="190"/>
      <c r="E28" s="190"/>
      <c r="F28" s="190" t="s">
        <v>334</v>
      </c>
      <c r="G28" s="190"/>
      <c r="H28" s="190"/>
      <c r="I28" s="190"/>
      <c r="J28" s="190"/>
      <c r="K28" s="190"/>
      <c r="L28" s="86"/>
    </row>
    <row r="29" spans="1:12">
      <c r="A29" s="65" t="s">
        <v>29</v>
      </c>
      <c r="B29" s="200"/>
      <c r="C29" s="190"/>
      <c r="D29" s="190"/>
      <c r="E29" s="190"/>
      <c r="F29" s="190" t="s">
        <v>30</v>
      </c>
      <c r="G29" s="190"/>
      <c r="H29" s="190"/>
      <c r="I29" s="190"/>
      <c r="J29" s="190"/>
      <c r="K29" s="190"/>
      <c r="L29" s="86"/>
    </row>
    <row r="30" spans="1:12">
      <c r="A30" s="65"/>
      <c r="B30" s="200"/>
      <c r="C30" s="190"/>
      <c r="D30" s="190"/>
      <c r="E30" s="190"/>
      <c r="F30" s="190"/>
      <c r="G30" s="190"/>
      <c r="H30" s="190"/>
      <c r="I30" s="190"/>
      <c r="J30" s="190"/>
      <c r="K30" s="190"/>
      <c r="L30" s="86"/>
    </row>
    <row r="31" spans="1:12">
      <c r="A31" s="65" t="s">
        <v>31</v>
      </c>
      <c r="B31" s="200"/>
      <c r="C31" s="190"/>
      <c r="D31" s="190"/>
      <c r="E31" s="190"/>
      <c r="F31" s="421" t="s">
        <v>315</v>
      </c>
      <c r="G31" s="190"/>
      <c r="H31" s="190"/>
      <c r="I31" s="190"/>
      <c r="J31" s="190"/>
      <c r="K31" s="190"/>
      <c r="L31" s="86"/>
    </row>
    <row r="32" spans="1:12">
      <c r="A32" s="65" t="s">
        <v>32</v>
      </c>
      <c r="B32" s="200"/>
      <c r="C32" s="190"/>
      <c r="D32" s="190"/>
      <c r="E32" s="190"/>
      <c r="F32" s="190" t="s">
        <v>33</v>
      </c>
      <c r="G32" s="190"/>
      <c r="H32" s="190"/>
      <c r="I32" s="190"/>
      <c r="J32" s="190"/>
      <c r="K32" s="190"/>
      <c r="L32" s="86"/>
    </row>
    <row r="33" spans="1:13">
      <c r="A33" s="65"/>
      <c r="B33" s="200"/>
      <c r="C33" s="190"/>
      <c r="D33" s="190"/>
      <c r="E33" s="190"/>
      <c r="F33" s="190"/>
      <c r="G33" s="190"/>
      <c r="H33" s="190"/>
      <c r="I33" s="190"/>
      <c r="J33" s="190"/>
      <c r="K33" s="190"/>
      <c r="L33" s="86"/>
    </row>
    <row r="34" spans="1:13">
      <c r="A34" s="65" t="s">
        <v>34</v>
      </c>
      <c r="B34" s="200"/>
      <c r="C34" s="190"/>
      <c r="D34" s="190"/>
      <c r="E34" s="190"/>
      <c r="F34" s="190" t="s">
        <v>35</v>
      </c>
      <c r="G34" s="190"/>
      <c r="H34" s="190"/>
      <c r="I34" s="190"/>
      <c r="J34" s="190"/>
      <c r="K34" s="190"/>
      <c r="L34" s="86"/>
    </row>
    <row r="35" spans="1:13">
      <c r="A35" s="65" t="s">
        <v>36</v>
      </c>
      <c r="B35" s="200"/>
      <c r="C35" s="190"/>
      <c r="D35" s="190"/>
      <c r="E35" s="190"/>
      <c r="F35" s="421" t="s">
        <v>316</v>
      </c>
      <c r="G35" s="190"/>
      <c r="H35" s="190"/>
      <c r="I35" s="190"/>
      <c r="J35" s="190"/>
      <c r="K35" s="190"/>
      <c r="L35" s="86"/>
    </row>
    <row r="36" spans="1:13">
      <c r="A36" s="58"/>
      <c r="B36" s="190"/>
      <c r="C36" s="190"/>
      <c r="D36" s="190"/>
      <c r="E36" s="190"/>
      <c r="F36" s="285"/>
      <c r="G36" s="190"/>
      <c r="H36" s="190"/>
      <c r="I36" s="190"/>
      <c r="J36" s="190"/>
      <c r="K36" s="190"/>
      <c r="L36" s="86"/>
    </row>
    <row r="37" spans="1:13">
      <c r="A37" s="58"/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86"/>
    </row>
    <row r="38" spans="1:13">
      <c r="A38" s="65" t="s">
        <v>37</v>
      </c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86"/>
    </row>
    <row r="39" spans="1:13">
      <c r="A39" s="58" t="s">
        <v>289</v>
      </c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86"/>
    </row>
    <row r="40" spans="1:13">
      <c r="A40" s="58" t="s">
        <v>38</v>
      </c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86"/>
    </row>
    <row r="41" spans="1:13">
      <c r="A41" s="164" t="s">
        <v>39</v>
      </c>
      <c r="B41" s="201"/>
      <c r="C41" s="201"/>
      <c r="D41" s="201"/>
      <c r="E41" s="201"/>
      <c r="F41" s="201"/>
      <c r="G41" s="201"/>
      <c r="H41" s="201"/>
      <c r="I41" s="201"/>
      <c r="J41" s="201"/>
      <c r="K41" s="201"/>
      <c r="L41" s="166"/>
      <c r="M41" s="36"/>
    </row>
    <row r="42" spans="1:13">
      <c r="A42" s="164" t="s">
        <v>40</v>
      </c>
      <c r="B42" s="201"/>
      <c r="C42" s="201"/>
      <c r="D42" s="201"/>
      <c r="E42" s="201"/>
      <c r="F42" s="201"/>
      <c r="G42" s="201"/>
      <c r="H42" s="201"/>
      <c r="I42" s="201"/>
      <c r="J42" s="201"/>
      <c r="K42" s="201"/>
      <c r="L42" s="166"/>
      <c r="M42" s="36"/>
    </row>
    <row r="43" spans="1:13">
      <c r="A43" s="164" t="s">
        <v>41</v>
      </c>
      <c r="B43" s="201"/>
      <c r="C43" s="201"/>
      <c r="D43" s="201"/>
      <c r="E43" s="201"/>
      <c r="F43" s="201"/>
      <c r="G43" s="201"/>
      <c r="H43" s="201"/>
      <c r="I43" s="201"/>
      <c r="J43" s="201"/>
      <c r="K43" s="201"/>
      <c r="L43" s="166"/>
      <c r="M43" s="36"/>
    </row>
    <row r="44" spans="1:13">
      <c r="A44" s="164" t="s">
        <v>42</v>
      </c>
      <c r="B44" s="201"/>
      <c r="C44" s="201"/>
      <c r="D44" s="201"/>
      <c r="E44" s="201"/>
      <c r="F44" s="201"/>
      <c r="G44" s="201"/>
      <c r="H44" s="201"/>
      <c r="I44" s="201"/>
      <c r="J44" s="201"/>
      <c r="K44" s="201"/>
      <c r="L44" s="166"/>
      <c r="M44" s="36"/>
    </row>
    <row r="45" spans="1:13">
      <c r="A45" s="164" t="s">
        <v>43</v>
      </c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166"/>
      <c r="M45" s="36"/>
    </row>
    <row r="46" spans="1:13">
      <c r="A46" s="164" t="s">
        <v>44</v>
      </c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166"/>
      <c r="M46" s="36"/>
    </row>
    <row r="47" spans="1:13">
      <c r="A47" s="164" t="s">
        <v>45</v>
      </c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166"/>
      <c r="M47" s="36"/>
    </row>
    <row r="48" spans="1:13" ht="15" thickBot="1">
      <c r="A48" s="120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167"/>
    </row>
    <row r="50" spans="12:12">
      <c r="L50" t="s">
        <v>46</v>
      </c>
    </row>
  </sheetData>
  <mergeCells count="1">
    <mergeCell ref="F3:L10"/>
  </mergeCells>
  <pageMargins left="0.7" right="0.7" top="0.75" bottom="0.75" header="0.3" footer="0.3"/>
  <pageSetup paperSize="9" scale="8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52"/>
  <sheetViews>
    <sheetView topLeftCell="A29" workbookViewId="0">
      <selection activeCell="A5" sqref="A5:G5"/>
    </sheetView>
  </sheetViews>
  <sheetFormatPr defaultColWidth="9" defaultRowHeight="14.5"/>
  <cols>
    <col min="4" max="4" width="13.26953125" customWidth="1"/>
    <col min="5" max="5" width="15.7265625" customWidth="1"/>
    <col min="7" max="7" width="17.453125" customWidth="1"/>
  </cols>
  <sheetData>
    <row r="4" spans="1:7" ht="15" customHeight="1">
      <c r="A4" s="300" t="s">
        <v>302</v>
      </c>
      <c r="B4" s="301"/>
      <c r="C4" s="301"/>
      <c r="D4" s="301"/>
      <c r="E4" s="301"/>
      <c r="F4" s="301"/>
      <c r="G4" s="302"/>
    </row>
    <row r="5" spans="1:7">
      <c r="A5" s="423" t="s">
        <v>319</v>
      </c>
      <c r="B5" s="303"/>
      <c r="C5" s="303"/>
      <c r="D5" s="303"/>
      <c r="E5" s="303"/>
      <c r="F5" s="303"/>
      <c r="G5" s="304"/>
    </row>
    <row r="6" spans="1:7">
      <c r="A6" s="305" t="s">
        <v>325</v>
      </c>
      <c r="B6" s="306"/>
      <c r="C6" s="306"/>
      <c r="D6" s="306"/>
      <c r="E6" s="306"/>
      <c r="F6" s="306"/>
      <c r="G6" s="307"/>
    </row>
    <row r="7" spans="1:7" ht="15.5">
      <c r="A7" s="308" t="s">
        <v>47</v>
      </c>
      <c r="B7" s="309"/>
      <c r="C7" s="309"/>
      <c r="D7" s="309"/>
      <c r="E7" s="309"/>
      <c r="F7" s="309"/>
      <c r="G7" s="310"/>
    </row>
    <row r="8" spans="1:7">
      <c r="A8" s="311"/>
      <c r="B8" s="312"/>
      <c r="C8" s="312"/>
      <c r="D8" s="312"/>
      <c r="E8" s="312"/>
      <c r="F8" s="312"/>
      <c r="G8" s="313"/>
    </row>
    <row r="9" spans="1:7">
      <c r="A9" s="347" t="s">
        <v>48</v>
      </c>
      <c r="B9" s="314" t="s">
        <v>49</v>
      </c>
      <c r="C9" s="315"/>
      <c r="D9" s="316"/>
      <c r="E9" s="151"/>
      <c r="F9" s="151"/>
      <c r="G9" s="152"/>
    </row>
    <row r="10" spans="1:7">
      <c r="A10" s="348"/>
      <c r="B10" s="317" t="s">
        <v>50</v>
      </c>
      <c r="C10" s="318"/>
      <c r="D10" s="319"/>
      <c r="E10" s="46"/>
      <c r="F10" s="46"/>
      <c r="G10" s="153">
        <v>5933500</v>
      </c>
    </row>
    <row r="11" spans="1:7">
      <c r="A11" s="348"/>
      <c r="B11" s="317" t="s">
        <v>251</v>
      </c>
      <c r="C11" s="318"/>
      <c r="D11" s="319"/>
      <c r="E11" s="46"/>
      <c r="F11" s="46"/>
      <c r="G11" s="153">
        <v>0</v>
      </c>
    </row>
    <row r="12" spans="1:7">
      <c r="A12" s="348"/>
      <c r="B12" s="320" t="s">
        <v>51</v>
      </c>
      <c r="C12" s="321"/>
      <c r="D12" s="322"/>
      <c r="E12" s="154"/>
      <c r="F12" s="154" t="s">
        <v>52</v>
      </c>
      <c r="G12" s="155">
        <f>G10+G11</f>
        <v>5933500</v>
      </c>
    </row>
    <row r="13" spans="1:7">
      <c r="A13" s="323"/>
      <c r="B13" s="324"/>
      <c r="C13" s="324"/>
      <c r="D13" s="324"/>
      <c r="E13" s="324"/>
      <c r="F13" s="324"/>
      <c r="G13" s="325"/>
    </row>
    <row r="14" spans="1:7">
      <c r="A14" s="349" t="s">
        <v>53</v>
      </c>
      <c r="B14" s="326" t="s">
        <v>54</v>
      </c>
      <c r="C14" s="326"/>
      <c r="D14" s="326"/>
      <c r="E14" s="46"/>
      <c r="F14" s="46"/>
      <c r="G14" s="153"/>
    </row>
    <row r="15" spans="1:7">
      <c r="A15" s="350"/>
      <c r="B15" s="327"/>
      <c r="C15" s="327"/>
      <c r="D15" s="327"/>
      <c r="E15" s="46"/>
      <c r="F15" s="46"/>
      <c r="G15" s="153"/>
    </row>
    <row r="16" spans="1:7">
      <c r="A16" s="350"/>
      <c r="B16" s="328" t="s">
        <v>258</v>
      </c>
      <c r="C16" s="329"/>
      <c r="D16" s="329"/>
      <c r="E16" s="46"/>
      <c r="F16" s="46"/>
      <c r="G16" s="153">
        <v>5933500</v>
      </c>
    </row>
    <row r="17" spans="1:7" ht="15" customHeight="1">
      <c r="A17" s="350"/>
      <c r="B17" s="330"/>
      <c r="C17" s="331"/>
      <c r="D17" s="332"/>
      <c r="E17" s="46"/>
      <c r="F17" s="46"/>
      <c r="G17" s="153"/>
    </row>
    <row r="18" spans="1:7">
      <c r="A18" s="350"/>
      <c r="B18" s="333"/>
      <c r="C18" s="334"/>
      <c r="D18" s="335"/>
      <c r="E18" s="46"/>
      <c r="F18" s="46"/>
      <c r="G18" s="153"/>
    </row>
    <row r="19" spans="1:7">
      <c r="A19" s="350"/>
      <c r="B19" s="336"/>
      <c r="C19" s="329"/>
      <c r="D19" s="329"/>
      <c r="E19" s="46"/>
      <c r="F19" s="46"/>
      <c r="G19" s="153"/>
    </row>
    <row r="20" spans="1:7">
      <c r="A20" s="350"/>
      <c r="B20" s="329"/>
      <c r="C20" s="329"/>
      <c r="D20" s="329"/>
      <c r="E20" s="46"/>
      <c r="F20" s="46"/>
      <c r="G20" s="153"/>
    </row>
    <row r="21" spans="1:7">
      <c r="A21" s="350"/>
      <c r="B21" s="329"/>
      <c r="C21" s="329"/>
      <c r="D21" s="329"/>
      <c r="E21" s="46"/>
      <c r="F21" s="46"/>
      <c r="G21" s="153"/>
    </row>
    <row r="22" spans="1:7">
      <c r="A22" s="350"/>
      <c r="B22" s="329"/>
      <c r="C22" s="329"/>
      <c r="D22" s="329"/>
      <c r="E22" s="46"/>
      <c r="F22" s="46"/>
      <c r="G22" s="153"/>
    </row>
    <row r="23" spans="1:7">
      <c r="A23" s="350"/>
      <c r="B23" s="337"/>
      <c r="C23" s="331"/>
      <c r="D23" s="332"/>
      <c r="E23" s="46"/>
      <c r="F23" s="46"/>
      <c r="G23" s="153"/>
    </row>
    <row r="24" spans="1:7">
      <c r="A24" s="350"/>
      <c r="B24" s="326"/>
      <c r="C24" s="326"/>
      <c r="D24" s="326"/>
      <c r="E24" s="46"/>
      <c r="F24" s="46"/>
      <c r="G24" s="153"/>
    </row>
    <row r="25" spans="1:7">
      <c r="A25" s="350"/>
      <c r="B25" s="329"/>
      <c r="C25" s="329"/>
      <c r="D25" s="329"/>
      <c r="E25" s="46"/>
      <c r="F25" s="46"/>
      <c r="G25" s="153"/>
    </row>
    <row r="26" spans="1:7">
      <c r="A26" s="350"/>
      <c r="B26" s="337"/>
      <c r="C26" s="331"/>
      <c r="D26" s="332"/>
      <c r="E26" s="46"/>
      <c r="F26" s="46"/>
      <c r="G26" s="153"/>
    </row>
    <row r="27" spans="1:7">
      <c r="A27" s="350"/>
      <c r="B27" s="327"/>
      <c r="C27" s="327"/>
      <c r="D27" s="327"/>
      <c r="E27" s="46"/>
      <c r="F27" s="46"/>
      <c r="G27" s="153"/>
    </row>
    <row r="28" spans="1:7">
      <c r="A28" s="350"/>
      <c r="B28" s="338" t="s">
        <v>55</v>
      </c>
      <c r="C28" s="338"/>
      <c r="D28" s="338"/>
      <c r="E28" s="154"/>
      <c r="F28" s="154" t="s">
        <v>52</v>
      </c>
      <c r="G28" s="155">
        <f>SUM(G16:G19)</f>
        <v>5933500</v>
      </c>
    </row>
    <row r="29" spans="1:7">
      <c r="A29" s="339"/>
      <c r="B29" s="329"/>
      <c r="C29" s="329"/>
      <c r="D29" s="329"/>
      <c r="E29" s="329"/>
      <c r="F29" s="329"/>
      <c r="G29" s="340"/>
    </row>
    <row r="30" spans="1:7">
      <c r="A30" s="350" t="s">
        <v>56</v>
      </c>
      <c r="B30" s="341" t="s">
        <v>57</v>
      </c>
      <c r="C30" s="342"/>
      <c r="D30" s="343"/>
      <c r="E30" s="20"/>
      <c r="F30" s="20"/>
      <c r="G30" s="156"/>
    </row>
    <row r="31" spans="1:7">
      <c r="A31" s="350"/>
      <c r="B31" s="317" t="s">
        <v>58</v>
      </c>
      <c r="C31" s="318"/>
      <c r="D31" s="319"/>
      <c r="E31" s="46"/>
      <c r="F31" s="46"/>
      <c r="G31" s="153">
        <f>G11</f>
        <v>0</v>
      </c>
    </row>
    <row r="32" spans="1:7">
      <c r="A32" s="350"/>
      <c r="B32" s="317" t="s">
        <v>59</v>
      </c>
      <c r="C32" s="318"/>
      <c r="D32" s="319"/>
      <c r="E32" s="46"/>
      <c r="F32" s="46"/>
      <c r="G32" s="153"/>
    </row>
    <row r="33" spans="1:7">
      <c r="A33" s="350"/>
      <c r="B33" s="317"/>
      <c r="C33" s="318"/>
      <c r="D33" s="319"/>
      <c r="E33" s="46"/>
      <c r="F33" s="46" t="s">
        <v>21</v>
      </c>
      <c r="G33" s="153"/>
    </row>
    <row r="34" spans="1:7">
      <c r="A34" s="351"/>
      <c r="B34" s="344" t="s">
        <v>60</v>
      </c>
      <c r="C34" s="345"/>
      <c r="D34" s="346"/>
      <c r="E34" s="157"/>
      <c r="F34" s="157" t="s">
        <v>52</v>
      </c>
      <c r="G34" s="158">
        <f>G31+G32</f>
        <v>0</v>
      </c>
    </row>
    <row r="35" spans="1:7">
      <c r="A35" s="360"/>
      <c r="B35" s="294"/>
      <c r="C35" s="294"/>
      <c r="D35" s="294"/>
      <c r="E35" s="294"/>
      <c r="F35" s="294"/>
      <c r="G35" s="356"/>
    </row>
    <row r="36" spans="1:7">
      <c r="A36" s="352" t="s">
        <v>61</v>
      </c>
      <c r="B36" s="357" t="s">
        <v>62</v>
      </c>
      <c r="C36" s="358"/>
      <c r="D36" s="359"/>
      <c r="E36" s="46"/>
      <c r="F36" s="46"/>
      <c r="G36" s="153"/>
    </row>
    <row r="37" spans="1:7">
      <c r="A37" s="352"/>
      <c r="B37" s="317" t="s">
        <v>63</v>
      </c>
      <c r="C37" s="318"/>
      <c r="D37" s="319"/>
      <c r="E37" s="46"/>
      <c r="F37" s="46" t="s">
        <v>52</v>
      </c>
      <c r="G37" s="155">
        <f>G28</f>
        <v>5933500</v>
      </c>
    </row>
    <row r="38" spans="1:7">
      <c r="A38" s="352"/>
      <c r="B38" s="317" t="s">
        <v>64</v>
      </c>
      <c r="C38" s="318"/>
      <c r="D38" s="319"/>
      <c r="E38" s="46"/>
      <c r="F38" s="46" t="s">
        <v>52</v>
      </c>
      <c r="G38" s="153">
        <f>G34</f>
        <v>0</v>
      </c>
    </row>
    <row r="39" spans="1:7">
      <c r="A39" s="352"/>
      <c r="B39" s="344" t="s">
        <v>65</v>
      </c>
      <c r="C39" s="345"/>
      <c r="D39" s="346"/>
      <c r="E39" s="157"/>
      <c r="F39" s="157" t="s">
        <v>52</v>
      </c>
      <c r="G39" s="158">
        <f>G37+G38</f>
        <v>5933500</v>
      </c>
    </row>
    <row r="40" spans="1:7">
      <c r="A40" s="355"/>
      <c r="B40" s="294"/>
      <c r="C40" s="294"/>
      <c r="D40" s="294"/>
      <c r="E40" s="294"/>
      <c r="F40" s="294"/>
      <c r="G40" s="356"/>
    </row>
    <row r="41" spans="1:7">
      <c r="A41" s="353" t="s">
        <v>66</v>
      </c>
      <c r="B41" s="357" t="s">
        <v>67</v>
      </c>
      <c r="C41" s="358"/>
      <c r="D41" s="359"/>
      <c r="E41" s="46"/>
      <c r="F41" s="46"/>
      <c r="G41" s="153"/>
    </row>
    <row r="42" spans="1:7">
      <c r="A42" s="348"/>
      <c r="B42" s="337" t="s">
        <v>68</v>
      </c>
      <c r="C42" s="331"/>
      <c r="D42" s="332"/>
      <c r="E42" s="28"/>
      <c r="F42" s="46"/>
      <c r="G42" s="153">
        <f>G39-G47</f>
        <v>1483500</v>
      </c>
    </row>
    <row r="43" spans="1:7">
      <c r="A43" s="348"/>
      <c r="B43" s="317" t="s">
        <v>64</v>
      </c>
      <c r="C43" s="318"/>
      <c r="D43" s="319"/>
      <c r="E43" s="28"/>
      <c r="F43" s="46" t="s">
        <v>52</v>
      </c>
      <c r="G43" s="153"/>
    </row>
    <row r="44" spans="1:7">
      <c r="A44" s="348"/>
      <c r="B44" s="159"/>
      <c r="C44" s="46"/>
      <c r="D44" s="46"/>
      <c r="E44" s="46"/>
      <c r="F44" s="46"/>
      <c r="G44" s="153"/>
    </row>
    <row r="45" spans="1:7">
      <c r="A45" s="348"/>
      <c r="B45" s="337" t="s">
        <v>69</v>
      </c>
      <c r="C45" s="331"/>
      <c r="D45" s="332"/>
      <c r="E45" s="28"/>
      <c r="F45" s="46" t="s">
        <v>52</v>
      </c>
      <c r="G45" s="153">
        <v>4450000</v>
      </c>
    </row>
    <row r="46" spans="1:7">
      <c r="A46" s="348"/>
      <c r="B46" s="317" t="s">
        <v>70</v>
      </c>
      <c r="C46" s="318"/>
      <c r="D46" s="319"/>
      <c r="E46" s="28"/>
      <c r="F46" s="46" t="s">
        <v>52</v>
      </c>
      <c r="G46" s="153">
        <v>0</v>
      </c>
    </row>
    <row r="47" spans="1:7">
      <c r="A47" s="354"/>
      <c r="B47" s="344" t="s">
        <v>65</v>
      </c>
      <c r="C47" s="345"/>
      <c r="D47" s="346"/>
      <c r="E47" s="160"/>
      <c r="F47" s="157" t="s">
        <v>52</v>
      </c>
      <c r="G47" s="158">
        <f>G45+G46</f>
        <v>4450000</v>
      </c>
    </row>
    <row r="50" spans="1:7" ht="15.5">
      <c r="A50" s="186" t="s">
        <v>304</v>
      </c>
      <c r="G50" t="s">
        <v>71</v>
      </c>
    </row>
    <row r="51" spans="1:7">
      <c r="A51" s="49"/>
    </row>
    <row r="52" spans="1:7">
      <c r="A52" s="49"/>
    </row>
  </sheetData>
  <mergeCells count="48">
    <mergeCell ref="B45:D45"/>
    <mergeCell ref="B46:D46"/>
    <mergeCell ref="B47:D47"/>
    <mergeCell ref="A9:A12"/>
    <mergeCell ref="A14:A28"/>
    <mergeCell ref="A30:A34"/>
    <mergeCell ref="A36:A39"/>
    <mergeCell ref="A41:A47"/>
    <mergeCell ref="B39:D39"/>
    <mergeCell ref="A40:G40"/>
    <mergeCell ref="B41:D41"/>
    <mergeCell ref="B42:D42"/>
    <mergeCell ref="B43:D43"/>
    <mergeCell ref="B34:D34"/>
    <mergeCell ref="A35:G35"/>
    <mergeCell ref="B36:D36"/>
    <mergeCell ref="B37:D37"/>
    <mergeCell ref="B38:D38"/>
    <mergeCell ref="A29:G29"/>
    <mergeCell ref="B30:D30"/>
    <mergeCell ref="B31:D31"/>
    <mergeCell ref="B32:D32"/>
    <mergeCell ref="B33:D33"/>
    <mergeCell ref="B24:D24"/>
    <mergeCell ref="B25:D25"/>
    <mergeCell ref="B26:D26"/>
    <mergeCell ref="B27:D27"/>
    <mergeCell ref="B28:D28"/>
    <mergeCell ref="B19:D19"/>
    <mergeCell ref="B20:D20"/>
    <mergeCell ref="B21:D21"/>
    <mergeCell ref="B22:D22"/>
    <mergeCell ref="B23:D23"/>
    <mergeCell ref="B14:D14"/>
    <mergeCell ref="B15:D15"/>
    <mergeCell ref="B16:D16"/>
    <mergeCell ref="B17:D17"/>
    <mergeCell ref="B18:D18"/>
    <mergeCell ref="B9:D9"/>
    <mergeCell ref="B10:D10"/>
    <mergeCell ref="B11:D11"/>
    <mergeCell ref="B12:D12"/>
    <mergeCell ref="A13:G13"/>
    <mergeCell ref="A4:G4"/>
    <mergeCell ref="A5:G5"/>
    <mergeCell ref="A6:G6"/>
    <mergeCell ref="A7:G7"/>
    <mergeCell ref="A8:G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8"/>
  <sheetViews>
    <sheetView workbookViewId="0">
      <selection activeCell="K22" sqref="K22"/>
    </sheetView>
  </sheetViews>
  <sheetFormatPr defaultRowHeight="14.5"/>
  <cols>
    <col min="1" max="1" width="39.1796875" customWidth="1"/>
  </cols>
  <sheetData>
    <row r="2" spans="1:8" ht="18.5">
      <c r="A2" s="293" t="s">
        <v>302</v>
      </c>
      <c r="B2" s="293"/>
      <c r="C2" s="293"/>
      <c r="D2" s="293"/>
      <c r="E2" s="293"/>
      <c r="F2" s="293"/>
      <c r="G2" s="220"/>
      <c r="H2" s="220"/>
    </row>
    <row r="3" spans="1:8">
      <c r="A3" s="295" t="s">
        <v>321</v>
      </c>
      <c r="B3" s="295"/>
      <c r="C3" s="295"/>
      <c r="D3" s="295"/>
      <c r="E3" s="295"/>
      <c r="F3" s="295"/>
    </row>
    <row r="4" spans="1:8">
      <c r="A4" s="362" t="s">
        <v>325</v>
      </c>
      <c r="B4" s="294"/>
      <c r="C4" s="294"/>
      <c r="D4" s="294"/>
      <c r="E4" s="294"/>
      <c r="F4" s="294"/>
    </row>
    <row r="5" spans="1:8" ht="18.5">
      <c r="A5" s="169" t="s">
        <v>263</v>
      </c>
    </row>
    <row r="7" spans="1:8">
      <c r="A7" s="77" t="s">
        <v>331</v>
      </c>
    </row>
    <row r="8" spans="1:8" ht="15" thickBot="1"/>
    <row r="9" spans="1:8">
      <c r="A9" s="363" t="s">
        <v>264</v>
      </c>
      <c r="B9" s="364"/>
      <c r="C9" s="363"/>
      <c r="D9" s="364"/>
      <c r="E9" s="363" t="s">
        <v>332</v>
      </c>
      <c r="F9" s="364"/>
    </row>
    <row r="10" spans="1:8" ht="15" thickBot="1">
      <c r="A10" s="365"/>
      <c r="B10" s="366"/>
      <c r="C10" s="365"/>
      <c r="D10" s="366"/>
      <c r="E10" s="365"/>
      <c r="F10" s="366"/>
    </row>
    <row r="11" spans="1:8">
      <c r="A11" s="71" t="s">
        <v>265</v>
      </c>
      <c r="B11" s="21"/>
      <c r="C11" s="71"/>
      <c r="D11" s="207"/>
      <c r="E11" s="71">
        <v>125000</v>
      </c>
      <c r="F11" s="286" t="s">
        <v>298</v>
      </c>
    </row>
    <row r="12" spans="1:8">
      <c r="A12" s="196"/>
      <c r="B12" s="62"/>
      <c r="C12" s="196"/>
      <c r="D12" s="62"/>
      <c r="E12" s="196"/>
      <c r="F12" s="91"/>
    </row>
    <row r="13" spans="1:8">
      <c r="A13" s="58" t="s">
        <v>266</v>
      </c>
      <c r="B13" s="62"/>
      <c r="C13" s="196"/>
      <c r="D13" s="62"/>
      <c r="E13" s="196">
        <v>12</v>
      </c>
      <c r="F13" s="91" t="s">
        <v>267</v>
      </c>
    </row>
    <row r="14" spans="1:8">
      <c r="A14" s="196"/>
      <c r="B14" s="62"/>
      <c r="C14" s="196"/>
      <c r="D14" s="62"/>
      <c r="E14" s="196"/>
      <c r="F14" s="91"/>
    </row>
    <row r="15" spans="1:8">
      <c r="A15" s="58" t="s">
        <v>268</v>
      </c>
      <c r="B15" s="62"/>
      <c r="C15" s="196"/>
      <c r="D15" s="62"/>
      <c r="E15" s="196">
        <v>26</v>
      </c>
      <c r="F15" s="91" t="s">
        <v>269</v>
      </c>
    </row>
    <row r="16" spans="1:8">
      <c r="A16" s="196"/>
      <c r="B16" s="62"/>
      <c r="C16" s="196"/>
      <c r="D16" s="62"/>
      <c r="E16" s="196"/>
      <c r="F16" s="91"/>
    </row>
    <row r="17" spans="1:6">
      <c r="A17" s="58" t="s">
        <v>270</v>
      </c>
      <c r="B17" s="209"/>
      <c r="C17" s="196"/>
      <c r="D17" s="62"/>
      <c r="E17" s="196">
        <v>180</v>
      </c>
      <c r="F17" s="91" t="s">
        <v>269</v>
      </c>
    </row>
    <row r="18" spans="1:6">
      <c r="A18" s="196"/>
      <c r="B18" s="62"/>
      <c r="C18" s="196"/>
      <c r="D18" s="62"/>
      <c r="E18" s="196"/>
      <c r="F18" s="91"/>
    </row>
    <row r="19" spans="1:6">
      <c r="A19" s="210" t="s">
        <v>271</v>
      </c>
      <c r="B19" s="209"/>
      <c r="C19" s="211"/>
      <c r="D19" s="212"/>
      <c r="E19" s="211">
        <f>E17*E11</f>
        <v>22500000</v>
      </c>
      <c r="F19" s="287" t="s">
        <v>298</v>
      </c>
    </row>
    <row r="20" spans="1:6" ht="15" thickBot="1">
      <c r="A20" s="202"/>
      <c r="B20" s="90"/>
      <c r="C20" s="202"/>
      <c r="D20" s="90"/>
      <c r="E20" s="202"/>
      <c r="F20" s="89"/>
    </row>
    <row r="21" spans="1:6" ht="15" thickBot="1">
      <c r="A21" s="361"/>
      <c r="B21" s="361"/>
      <c r="C21" s="361"/>
      <c r="D21" s="361"/>
      <c r="E21" s="190"/>
    </row>
    <row r="22" spans="1:6" ht="44" thickBot="1">
      <c r="A22" s="213" t="s">
        <v>272</v>
      </c>
      <c r="B22" s="214"/>
      <c r="C22" s="215" t="s">
        <v>273</v>
      </c>
      <c r="D22" s="216"/>
      <c r="E22" s="262" t="s">
        <v>333</v>
      </c>
    </row>
    <row r="23" spans="1:6">
      <c r="A23" s="43">
        <v>2027</v>
      </c>
      <c r="B23" s="206"/>
      <c r="C23" s="266">
        <v>0.5</v>
      </c>
      <c r="D23" s="218">
        <f>C19*C23</f>
        <v>0</v>
      </c>
      <c r="E23" s="263">
        <f>E19*C23</f>
        <v>11250000</v>
      </c>
    </row>
    <row r="24" spans="1:6">
      <c r="A24" s="43">
        <f>1+A23</f>
        <v>2028</v>
      </c>
      <c r="B24" s="206"/>
      <c r="C24" s="217">
        <v>0.55000000000000004</v>
      </c>
      <c r="D24" s="42">
        <f>ROUND(D23*5%+D23,0)</f>
        <v>0</v>
      </c>
      <c r="E24" s="43">
        <f>ROUND(E23*5%+E23,0)</f>
        <v>11812500</v>
      </c>
    </row>
    <row r="25" spans="1:6">
      <c r="A25" s="43">
        <f t="shared" ref="A25:A27" si="0">1+A24</f>
        <v>2029</v>
      </c>
      <c r="B25" s="206"/>
      <c r="C25" s="217">
        <v>0.6</v>
      </c>
      <c r="D25" s="42">
        <f>ROUND(D24*5%+D24,0)</f>
        <v>0</v>
      </c>
      <c r="E25" s="43">
        <f t="shared" ref="E25:E29" si="1">ROUND(E24*5%+E24,0)</f>
        <v>12403125</v>
      </c>
    </row>
    <row r="26" spans="1:6">
      <c r="A26" s="43">
        <f t="shared" si="0"/>
        <v>2030</v>
      </c>
      <c r="B26" s="206"/>
      <c r="C26" s="217">
        <v>0.65</v>
      </c>
      <c r="D26" s="42">
        <f t="shared" ref="D26" si="2">ROUND(D25*5%+D25,0)</f>
        <v>0</v>
      </c>
      <c r="E26" s="43">
        <f t="shared" si="1"/>
        <v>13023281</v>
      </c>
    </row>
    <row r="27" spans="1:6">
      <c r="A27" s="43">
        <f t="shared" si="0"/>
        <v>2031</v>
      </c>
      <c r="B27" s="206"/>
      <c r="C27" s="217">
        <v>0.7</v>
      </c>
      <c r="D27" s="42">
        <f>ROUND(D26*5%+D26,0)</f>
        <v>0</v>
      </c>
      <c r="E27" s="43">
        <f t="shared" si="1"/>
        <v>13674445</v>
      </c>
    </row>
    <row r="28" spans="1:6">
      <c r="A28" s="43">
        <f>1+A27</f>
        <v>2032</v>
      </c>
      <c r="B28" s="206"/>
      <c r="C28" s="217">
        <v>0.75</v>
      </c>
      <c r="D28" s="42">
        <f>ROUND(D27*5%+D27,0)</f>
        <v>0</v>
      </c>
      <c r="E28" s="43">
        <f t="shared" si="1"/>
        <v>14358167</v>
      </c>
    </row>
    <row r="29" spans="1:6" ht="15" thickBot="1">
      <c r="A29" s="43">
        <f>1+A28</f>
        <v>2033</v>
      </c>
      <c r="B29" s="45"/>
      <c r="C29" s="219">
        <v>0.8</v>
      </c>
      <c r="D29" s="44">
        <f>ROUND(D28*5%+D28,0)</f>
        <v>0</v>
      </c>
      <c r="E29" s="264">
        <f t="shared" si="1"/>
        <v>15076075</v>
      </c>
    </row>
    <row r="36" spans="1:5" ht="15.5">
      <c r="A36" s="35" t="s">
        <v>305</v>
      </c>
    </row>
    <row r="38" spans="1:5">
      <c r="E38" s="277" t="s">
        <v>90</v>
      </c>
    </row>
  </sheetData>
  <mergeCells count="7">
    <mergeCell ref="A21:D21"/>
    <mergeCell ref="A2:F2"/>
    <mergeCell ref="A3:F3"/>
    <mergeCell ref="A4:F4"/>
    <mergeCell ref="A9:B10"/>
    <mergeCell ref="C9:D10"/>
    <mergeCell ref="E9:F1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A2" sqref="A2:H2"/>
    </sheetView>
  </sheetViews>
  <sheetFormatPr defaultRowHeight="14.5"/>
  <cols>
    <col min="1" max="1" width="29.1796875" customWidth="1"/>
    <col min="2" max="4" width="8.81640625" bestFit="1" customWidth="1"/>
    <col min="5" max="8" width="10.81640625" bestFit="1" customWidth="1"/>
  </cols>
  <sheetData>
    <row r="1" spans="1:8">
      <c r="A1" s="367" t="s">
        <v>302</v>
      </c>
      <c r="B1" s="367"/>
      <c r="C1" s="367"/>
      <c r="D1" s="367"/>
      <c r="E1" s="367"/>
      <c r="F1" s="367"/>
      <c r="G1" s="367"/>
      <c r="H1" s="367"/>
    </row>
    <row r="2" spans="1:8">
      <c r="A2" s="424" t="s">
        <v>322</v>
      </c>
      <c r="B2" s="294"/>
      <c r="C2" s="294"/>
      <c r="D2" s="294"/>
      <c r="E2" s="294"/>
      <c r="F2" s="294"/>
      <c r="G2" s="294"/>
      <c r="H2" s="294"/>
    </row>
    <row r="3" spans="1:8">
      <c r="A3" s="362" t="s">
        <v>325</v>
      </c>
      <c r="B3" s="294"/>
      <c r="C3" s="294"/>
      <c r="D3" s="294"/>
      <c r="E3" s="294"/>
      <c r="F3" s="294"/>
      <c r="G3" s="294"/>
      <c r="H3" s="294"/>
    </row>
    <row r="7" spans="1:8">
      <c r="A7" s="77" t="s">
        <v>274</v>
      </c>
    </row>
    <row r="8" spans="1:8" ht="15" thickBot="1"/>
    <row r="9" spans="1:8" ht="15" thickBot="1">
      <c r="A9" s="51" t="s">
        <v>275</v>
      </c>
      <c r="B9" s="107">
        <v>2027</v>
      </c>
      <c r="C9" s="107">
        <v>2028</v>
      </c>
      <c r="D9" s="107">
        <v>2029</v>
      </c>
      <c r="E9" s="226">
        <v>2030</v>
      </c>
      <c r="F9" s="227">
        <v>2031</v>
      </c>
      <c r="G9" s="228">
        <v>2032</v>
      </c>
      <c r="H9" s="107">
        <v>2033</v>
      </c>
    </row>
    <row r="10" spans="1:8">
      <c r="A10" s="265"/>
      <c r="B10" s="208">
        <f>Production!D23</f>
        <v>0</v>
      </c>
      <c r="C10" s="208">
        <f>Production!D24</f>
        <v>0</v>
      </c>
      <c r="D10" s="208">
        <f>Production!D25</f>
        <v>0</v>
      </c>
      <c r="E10" s="22">
        <f>Production!D26</f>
        <v>0</v>
      </c>
      <c r="F10" s="20">
        <f>Production!D27</f>
        <v>0</v>
      </c>
      <c r="G10" s="156">
        <f>Production!D28</f>
        <v>0</v>
      </c>
      <c r="H10" s="208">
        <f>Production!D29</f>
        <v>0</v>
      </c>
    </row>
    <row r="11" spans="1:8" ht="15" thickBot="1">
      <c r="A11" s="230"/>
      <c r="B11" s="89">
        <v>0</v>
      </c>
      <c r="C11" s="89">
        <f>B11</f>
        <v>0</v>
      </c>
      <c r="D11" s="89">
        <f t="shared" ref="D11:H11" si="0">C11</f>
        <v>0</v>
      </c>
      <c r="E11" s="89">
        <v>0</v>
      </c>
      <c r="F11" s="89">
        <f>E11</f>
        <v>0</v>
      </c>
      <c r="G11" s="89">
        <v>0</v>
      </c>
      <c r="H11" s="89">
        <f t="shared" si="0"/>
        <v>0</v>
      </c>
    </row>
    <row r="12" spans="1:8" ht="15" thickBot="1">
      <c r="A12" s="229" t="s">
        <v>276</v>
      </c>
      <c r="B12" s="150">
        <f>B10*B11</f>
        <v>0</v>
      </c>
      <c r="C12" s="150">
        <f t="shared" ref="C12:H12" si="1">C10*C11</f>
        <v>0</v>
      </c>
      <c r="D12" s="150">
        <f t="shared" si="1"/>
        <v>0</v>
      </c>
      <c r="E12" s="150">
        <f t="shared" si="1"/>
        <v>0</v>
      </c>
      <c r="F12" s="150">
        <f t="shared" si="1"/>
        <v>0</v>
      </c>
      <c r="G12" s="150">
        <f t="shared" si="1"/>
        <v>0</v>
      </c>
      <c r="H12" s="150">
        <f t="shared" si="1"/>
        <v>0</v>
      </c>
    </row>
    <row r="13" spans="1:8" ht="15" thickBot="1">
      <c r="A13" s="92"/>
      <c r="B13" s="167"/>
      <c r="C13" s="167"/>
      <c r="D13" s="167"/>
      <c r="E13" s="225"/>
      <c r="F13" s="222"/>
      <c r="G13" s="223"/>
      <c r="H13" s="167"/>
    </row>
    <row r="14" spans="1:8">
      <c r="A14" s="290" t="s">
        <v>300</v>
      </c>
      <c r="B14" s="208">
        <f>Production!E23</f>
        <v>11250000</v>
      </c>
      <c r="C14" s="208">
        <f>Production!E24</f>
        <v>11812500</v>
      </c>
      <c r="D14" s="208">
        <f>Production!E25</f>
        <v>12403125</v>
      </c>
      <c r="E14" s="208">
        <f>Production!E26</f>
        <v>13023281</v>
      </c>
      <c r="F14" s="208">
        <f>Production!E27</f>
        <v>13674445</v>
      </c>
      <c r="G14" s="208">
        <f>Production!E28</f>
        <v>14358167</v>
      </c>
      <c r="H14" s="208">
        <f>Production!E29</f>
        <v>15076075</v>
      </c>
    </row>
    <row r="15" spans="1:8" ht="15" thickBot="1">
      <c r="A15" s="288" t="s">
        <v>299</v>
      </c>
      <c r="B15" s="89">
        <v>2.2000000000000002</v>
      </c>
      <c r="C15" s="89">
        <f>B15</f>
        <v>2.2000000000000002</v>
      </c>
      <c r="D15" s="89">
        <f t="shared" ref="D15:H15" si="2">C15</f>
        <v>2.2000000000000002</v>
      </c>
      <c r="E15" s="89">
        <v>2.2999999999999998</v>
      </c>
      <c r="F15" s="89">
        <f t="shared" si="2"/>
        <v>2.2999999999999998</v>
      </c>
      <c r="G15" s="89">
        <v>2.5</v>
      </c>
      <c r="H15" s="89">
        <f t="shared" si="2"/>
        <v>2.5</v>
      </c>
    </row>
    <row r="16" spans="1:8" ht="15" thickBot="1">
      <c r="A16" s="229" t="s">
        <v>276</v>
      </c>
      <c r="B16" s="150">
        <f>B14*B15</f>
        <v>24750000.000000004</v>
      </c>
      <c r="C16" s="150">
        <f t="shared" ref="C16:H16" si="3">C14*C15</f>
        <v>25987500.000000004</v>
      </c>
      <c r="D16" s="150">
        <f t="shared" si="3"/>
        <v>27286875.000000004</v>
      </c>
      <c r="E16" s="150">
        <f t="shared" si="3"/>
        <v>29953546.299999997</v>
      </c>
      <c r="F16" s="150">
        <f t="shared" si="3"/>
        <v>31451223.499999996</v>
      </c>
      <c r="G16" s="150">
        <f t="shared" si="3"/>
        <v>35895417.5</v>
      </c>
      <c r="H16" s="150">
        <f t="shared" si="3"/>
        <v>37690187.5</v>
      </c>
    </row>
    <row r="17" spans="1:8">
      <c r="A17" s="72"/>
      <c r="B17" s="208"/>
      <c r="C17" s="208"/>
      <c r="D17" s="208"/>
      <c r="E17" s="22"/>
      <c r="F17" s="20"/>
      <c r="G17" s="156"/>
      <c r="H17" s="208"/>
    </row>
    <row r="18" spans="1:8" ht="15" thickBot="1">
      <c r="A18" s="88"/>
      <c r="B18" s="89"/>
      <c r="C18" s="89"/>
      <c r="D18" s="89"/>
      <c r="E18" s="224"/>
      <c r="F18" s="160"/>
      <c r="G18" s="221"/>
      <c r="H18" s="89"/>
    </row>
    <row r="19" spans="1:8" ht="15" thickBot="1">
      <c r="A19" s="229" t="s">
        <v>301</v>
      </c>
      <c r="B19" s="150">
        <f>B12+B16</f>
        <v>24750000.000000004</v>
      </c>
      <c r="C19" s="150">
        <f t="shared" ref="C19:D19" si="4">C12+C16</f>
        <v>25987500.000000004</v>
      </c>
      <c r="D19" s="150">
        <f t="shared" si="4"/>
        <v>27286875.000000004</v>
      </c>
      <c r="E19" s="150">
        <f>ROUND(E12+E16,0)</f>
        <v>29953546</v>
      </c>
      <c r="F19" s="150">
        <f t="shared" ref="F19:H19" si="5">ROUND(F12+F16,0)</f>
        <v>31451224</v>
      </c>
      <c r="G19" s="150">
        <f t="shared" si="5"/>
        <v>35895418</v>
      </c>
      <c r="H19" s="150">
        <f t="shared" si="5"/>
        <v>37690188</v>
      </c>
    </row>
    <row r="28" spans="1:8">
      <c r="A28" s="205" t="s">
        <v>304</v>
      </c>
    </row>
    <row r="31" spans="1:8">
      <c r="G31" s="277" t="s">
        <v>108</v>
      </c>
    </row>
  </sheetData>
  <mergeCells count="3">
    <mergeCell ref="A1:H1"/>
    <mergeCell ref="A2:H2"/>
    <mergeCell ref="A3:H3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43"/>
  <sheetViews>
    <sheetView workbookViewId="0">
      <selection activeCell="L21" sqref="L21"/>
    </sheetView>
  </sheetViews>
  <sheetFormatPr defaultColWidth="9" defaultRowHeight="14.5"/>
  <cols>
    <col min="2" max="2" width="14.26953125" customWidth="1"/>
    <col min="3" max="4" width="12" style="1" customWidth="1"/>
    <col min="5" max="8" width="11.26953125" style="1" customWidth="1"/>
    <col min="9" max="9" width="10.81640625" customWidth="1"/>
  </cols>
  <sheetData>
    <row r="2" spans="1:11" ht="18.75" customHeight="1">
      <c r="B2" s="293" t="s">
        <v>302</v>
      </c>
      <c r="C2" s="293"/>
      <c r="D2" s="293"/>
      <c r="E2" s="293"/>
      <c r="F2" s="293"/>
      <c r="G2" s="293"/>
      <c r="H2" s="293"/>
      <c r="I2" s="293"/>
    </row>
    <row r="3" spans="1:11" ht="15" customHeight="1">
      <c r="B3" s="424" t="s">
        <v>323</v>
      </c>
      <c r="C3" s="374"/>
      <c r="D3" s="374"/>
      <c r="E3" s="374"/>
      <c r="F3" s="374"/>
      <c r="G3" s="374"/>
      <c r="H3" s="374"/>
      <c r="I3" s="374"/>
    </row>
    <row r="4" spans="1:11" ht="15" customHeight="1">
      <c r="B4" s="362" t="s">
        <v>325</v>
      </c>
      <c r="C4" s="294"/>
      <c r="D4" s="294"/>
      <c r="E4" s="294"/>
      <c r="F4" s="294"/>
      <c r="G4" s="294"/>
      <c r="H4" s="294"/>
      <c r="I4" s="294"/>
    </row>
    <row r="5" spans="1:11" ht="15" customHeight="1">
      <c r="B5" s="309" t="s">
        <v>72</v>
      </c>
      <c r="C5" s="309"/>
      <c r="D5" s="309"/>
      <c r="E5" s="309"/>
      <c r="F5" s="309"/>
      <c r="G5" s="309"/>
      <c r="H5" s="309"/>
      <c r="I5" s="309"/>
    </row>
    <row r="7" spans="1:11">
      <c r="A7" s="368" t="s">
        <v>73</v>
      </c>
      <c r="B7" s="369"/>
      <c r="C7" s="51" t="s">
        <v>74</v>
      </c>
      <c r="D7" s="51" t="s">
        <v>74</v>
      </c>
      <c r="E7" s="51" t="s">
        <v>74</v>
      </c>
      <c r="F7" s="51" t="s">
        <v>74</v>
      </c>
      <c r="G7" s="52" t="s">
        <v>74</v>
      </c>
      <c r="H7" s="51" t="s">
        <v>74</v>
      </c>
      <c r="I7" s="51" t="s">
        <v>74</v>
      </c>
    </row>
    <row r="8" spans="1:11">
      <c r="A8" s="370"/>
      <c r="B8" s="371"/>
      <c r="C8" s="53" t="s">
        <v>75</v>
      </c>
      <c r="D8" s="53" t="s">
        <v>75</v>
      </c>
      <c r="E8" s="1" t="s">
        <v>75</v>
      </c>
      <c r="F8" s="54" t="s">
        <v>75</v>
      </c>
      <c r="G8" s="1" t="s">
        <v>75</v>
      </c>
      <c r="H8" s="54" t="s">
        <v>75</v>
      </c>
      <c r="I8" s="54" t="s">
        <v>75</v>
      </c>
    </row>
    <row r="9" spans="1:11">
      <c r="A9" s="372"/>
      <c r="B9" s="373"/>
      <c r="C9" s="55">
        <v>2027</v>
      </c>
      <c r="D9" s="55">
        <f>1+C9</f>
        <v>2028</v>
      </c>
      <c r="E9" s="55">
        <f t="shared" ref="E9:I9" si="0">1+D9</f>
        <v>2029</v>
      </c>
      <c r="F9" s="55">
        <f t="shared" si="0"/>
        <v>2030</v>
      </c>
      <c r="G9" s="55">
        <f t="shared" si="0"/>
        <v>2031</v>
      </c>
      <c r="H9" s="55">
        <f t="shared" si="0"/>
        <v>2032</v>
      </c>
      <c r="I9" s="55">
        <f t="shared" si="0"/>
        <v>2033</v>
      </c>
    </row>
    <row r="10" spans="1:11" ht="21">
      <c r="A10" s="56" t="s">
        <v>76</v>
      </c>
      <c r="C10" s="108"/>
      <c r="D10" s="112"/>
      <c r="E10" s="112"/>
      <c r="F10" s="109"/>
      <c r="G10" s="108"/>
      <c r="H10" s="108"/>
      <c r="I10" s="108"/>
    </row>
    <row r="11" spans="1:11">
      <c r="A11" s="58"/>
      <c r="C11" s="187"/>
      <c r="D11" s="134"/>
      <c r="E11" s="134"/>
      <c r="F11" s="135"/>
      <c r="G11" s="133"/>
      <c r="H11" s="133"/>
      <c r="I11" s="133"/>
      <c r="K11" s="1"/>
    </row>
    <row r="12" spans="1:11">
      <c r="A12" s="58" t="s">
        <v>77</v>
      </c>
      <c r="C12" s="61">
        <f>INCOME!B19</f>
        <v>24750000.000000004</v>
      </c>
      <c r="D12" s="136">
        <f>INCOME!C19</f>
        <v>25987500.000000004</v>
      </c>
      <c r="E12" s="136">
        <f>INCOME!D19</f>
        <v>27286875.000000004</v>
      </c>
      <c r="F12" s="136">
        <f>INCOME!E19</f>
        <v>29953546</v>
      </c>
      <c r="G12" s="136">
        <f>INCOME!F19</f>
        <v>31451224</v>
      </c>
      <c r="H12" s="136">
        <f>INCOME!G19</f>
        <v>35895418</v>
      </c>
      <c r="I12" s="136">
        <f>INCOME!H19</f>
        <v>37690188</v>
      </c>
      <c r="K12" s="1"/>
    </row>
    <row r="13" spans="1:11">
      <c r="A13" s="58"/>
      <c r="B13" s="40" t="s">
        <v>78</v>
      </c>
      <c r="C13" s="137">
        <f t="shared" ref="C13:I13" si="1">C12</f>
        <v>24750000.000000004</v>
      </c>
      <c r="D13" s="136">
        <f t="shared" si="1"/>
        <v>25987500.000000004</v>
      </c>
      <c r="E13" s="128">
        <f t="shared" si="1"/>
        <v>27286875.000000004</v>
      </c>
      <c r="F13" s="138">
        <f t="shared" si="1"/>
        <v>29953546</v>
      </c>
      <c r="G13" s="137">
        <f t="shared" si="1"/>
        <v>31451224</v>
      </c>
      <c r="H13" s="137">
        <f>H12</f>
        <v>35895418</v>
      </c>
      <c r="I13" s="137">
        <f t="shared" si="1"/>
        <v>37690188</v>
      </c>
    </row>
    <row r="14" spans="1:11">
      <c r="A14" s="58"/>
      <c r="C14" s="60"/>
      <c r="D14" s="113"/>
      <c r="E14" s="113"/>
      <c r="F14" s="109"/>
      <c r="G14" s="60"/>
      <c r="H14" s="60"/>
      <c r="I14" s="60"/>
    </row>
    <row r="15" spans="1:11" ht="21">
      <c r="A15" s="56" t="s">
        <v>79</v>
      </c>
      <c r="C15" s="60"/>
      <c r="D15" s="113"/>
      <c r="E15" s="113"/>
      <c r="F15" s="109"/>
      <c r="G15" s="60"/>
      <c r="H15" s="60"/>
      <c r="I15" s="60"/>
    </row>
    <row r="16" spans="1:11">
      <c r="A16" s="58" t="s">
        <v>80</v>
      </c>
      <c r="C16" s="60">
        <v>0</v>
      </c>
      <c r="D16" s="113">
        <f>C26</f>
        <v>2431200</v>
      </c>
      <c r="E16" s="113">
        <f t="shared" ref="E16:I16" si="2">D26</f>
        <v>2674320</v>
      </c>
      <c r="F16" s="113">
        <f t="shared" si="2"/>
        <v>2941752</v>
      </c>
      <c r="G16" s="113">
        <f t="shared" si="2"/>
        <v>3235927</v>
      </c>
      <c r="H16" s="113">
        <f t="shared" si="2"/>
        <v>3559520</v>
      </c>
      <c r="I16" s="113">
        <f t="shared" si="2"/>
        <v>3915472</v>
      </c>
    </row>
    <row r="17" spans="1:14" ht="15.5">
      <c r="A17" s="58"/>
      <c r="C17" s="139"/>
      <c r="D17" s="140"/>
      <c r="E17" s="113"/>
      <c r="F17" s="109"/>
      <c r="G17" s="60"/>
      <c r="H17" s="60"/>
      <c r="I17" s="60"/>
    </row>
    <row r="18" spans="1:14" s="132" customFormat="1">
      <c r="A18" s="141" t="s">
        <v>81</v>
      </c>
      <c r="C18" s="142">
        <v>22639800</v>
      </c>
      <c r="D18" s="136">
        <v>21778000</v>
      </c>
      <c r="E18" s="136">
        <f>ROUND(D18*5%+D18,0)</f>
        <v>22866900</v>
      </c>
      <c r="F18" s="136">
        <v>25456900</v>
      </c>
      <c r="G18" s="136">
        <f t="shared" ref="E18:I18" si="3">ROUND(F18*5%+F18,0)</f>
        <v>26729745</v>
      </c>
      <c r="H18" s="136">
        <f>ROUND(G18*16%+G18,0)</f>
        <v>31006504</v>
      </c>
      <c r="I18" s="136">
        <f t="shared" si="3"/>
        <v>32556829</v>
      </c>
    </row>
    <row r="19" spans="1:14">
      <c r="A19" s="58" t="s">
        <v>82</v>
      </c>
      <c r="C19" s="60"/>
      <c r="D19" s="113"/>
      <c r="E19" s="113"/>
      <c r="F19" s="109"/>
      <c r="G19" s="60"/>
      <c r="H19" s="60"/>
      <c r="I19" s="60"/>
    </row>
    <row r="20" spans="1:14" ht="21">
      <c r="A20" s="56" t="s">
        <v>83</v>
      </c>
      <c r="C20" s="60"/>
      <c r="D20" s="113"/>
      <c r="E20" s="113"/>
      <c r="F20" s="109"/>
      <c r="G20" s="60"/>
      <c r="H20" s="60"/>
      <c r="I20" s="60"/>
    </row>
    <row r="21" spans="1:14">
      <c r="A21" s="58" t="s">
        <v>84</v>
      </c>
      <c r="C21" s="60">
        <v>42370</v>
      </c>
      <c r="D21" s="113">
        <f>ROUND(C21*10%+C21,0)</f>
        <v>46607</v>
      </c>
      <c r="E21" s="113">
        <f t="shared" ref="E21:I21" si="4">ROUND(D21*10%+D21,0)</f>
        <v>51268</v>
      </c>
      <c r="F21" s="113">
        <f t="shared" si="4"/>
        <v>56395</v>
      </c>
      <c r="G21" s="113">
        <f t="shared" si="4"/>
        <v>62035</v>
      </c>
      <c r="H21" s="113">
        <f t="shared" si="4"/>
        <v>68239</v>
      </c>
      <c r="I21" s="113">
        <f t="shared" si="4"/>
        <v>75063</v>
      </c>
      <c r="J21" s="109"/>
      <c r="K21" s="190"/>
      <c r="L21" s="190"/>
      <c r="M21" s="190"/>
      <c r="N21" s="190"/>
    </row>
    <row r="22" spans="1:14">
      <c r="A22" s="58" t="s">
        <v>85</v>
      </c>
      <c r="C22" s="60">
        <v>31290</v>
      </c>
      <c r="D22" s="113">
        <f t="shared" ref="D22:I22" si="5">ROUND(C22*10%+C22,0)</f>
        <v>34419</v>
      </c>
      <c r="E22" s="113">
        <f t="shared" si="5"/>
        <v>37861</v>
      </c>
      <c r="F22" s="113">
        <f t="shared" si="5"/>
        <v>41647</v>
      </c>
      <c r="G22" s="113">
        <f t="shared" si="5"/>
        <v>45812</v>
      </c>
      <c r="H22" s="113">
        <f t="shared" si="5"/>
        <v>50393</v>
      </c>
      <c r="I22" s="113">
        <f t="shared" si="5"/>
        <v>55432</v>
      </c>
      <c r="K22" s="190"/>
      <c r="L22" s="190"/>
      <c r="M22" s="191"/>
      <c r="N22" s="190"/>
    </row>
    <row r="23" spans="1:14" ht="15" thickBot="1">
      <c r="A23" s="58" t="s">
        <v>86</v>
      </c>
      <c r="C23" s="118">
        <v>340000</v>
      </c>
      <c r="D23" s="113">
        <f t="shared" ref="D23:I23" si="6">ROUND(C23*10%+C23,0)</f>
        <v>374000</v>
      </c>
      <c r="E23" s="113">
        <f t="shared" si="6"/>
        <v>411400</v>
      </c>
      <c r="F23" s="113">
        <f t="shared" si="6"/>
        <v>452540</v>
      </c>
      <c r="G23" s="113">
        <f t="shared" si="6"/>
        <v>497794</v>
      </c>
      <c r="H23" s="113">
        <f t="shared" si="6"/>
        <v>547573</v>
      </c>
      <c r="I23" s="113">
        <f t="shared" si="6"/>
        <v>602330</v>
      </c>
      <c r="K23" s="190"/>
      <c r="L23" s="190"/>
      <c r="M23" s="190"/>
      <c r="N23" s="190"/>
    </row>
    <row r="24" spans="1:14" ht="15" thickBot="1">
      <c r="A24" s="58"/>
      <c r="B24" s="86"/>
      <c r="C24" s="143">
        <f t="shared" ref="C24:G24" si="7">C16+C18+C21+C22+C23</f>
        <v>23053460</v>
      </c>
      <c r="D24" s="143">
        <f t="shared" si="7"/>
        <v>24664226</v>
      </c>
      <c r="E24" s="144">
        <f t="shared" si="7"/>
        <v>26041749</v>
      </c>
      <c r="F24" s="145">
        <f t="shared" si="7"/>
        <v>28949234</v>
      </c>
      <c r="G24" s="144">
        <f t="shared" si="7"/>
        <v>30571313</v>
      </c>
      <c r="H24" s="144">
        <f t="shared" ref="H24:I24" si="8">H16+H18+H21+H22+H23</f>
        <v>35232229</v>
      </c>
      <c r="I24" s="144">
        <f t="shared" si="8"/>
        <v>37205126</v>
      </c>
      <c r="K24" s="190"/>
      <c r="L24" s="190"/>
      <c r="M24" s="190"/>
      <c r="N24" s="190"/>
    </row>
    <row r="25" spans="1:14">
      <c r="A25" s="58"/>
      <c r="B25" s="86"/>
      <c r="C25" s="146"/>
      <c r="D25" s="146"/>
      <c r="E25" s="60"/>
      <c r="F25" s="109"/>
      <c r="G25" s="60"/>
      <c r="H25" s="60"/>
      <c r="I25" s="108"/>
      <c r="K25" s="190"/>
      <c r="L25" s="191"/>
      <c r="M25" s="190"/>
      <c r="N25" s="190"/>
    </row>
    <row r="26" spans="1:14">
      <c r="A26" s="65" t="s">
        <v>87</v>
      </c>
      <c r="B26" s="147"/>
      <c r="C26" s="146">
        <v>2431200</v>
      </c>
      <c r="D26" s="146">
        <f>ROUND(C26*10%+C26,0)</f>
        <v>2674320</v>
      </c>
      <c r="E26" s="146">
        <f t="shared" ref="E26:I26" si="9">ROUND(D26*10%+D26,0)</f>
        <v>2941752</v>
      </c>
      <c r="F26" s="146">
        <f t="shared" si="9"/>
        <v>3235927</v>
      </c>
      <c r="G26" s="146">
        <f t="shared" si="9"/>
        <v>3559520</v>
      </c>
      <c r="H26" s="146">
        <f t="shared" si="9"/>
        <v>3915472</v>
      </c>
      <c r="I26" s="60">
        <f t="shared" si="9"/>
        <v>4307019</v>
      </c>
      <c r="J26" s="109"/>
      <c r="K26" s="190"/>
      <c r="L26" s="190"/>
      <c r="M26" s="190"/>
      <c r="N26" s="190"/>
    </row>
    <row r="27" spans="1:14">
      <c r="A27" s="65"/>
      <c r="B27" s="147"/>
      <c r="C27" s="146"/>
      <c r="D27" s="146"/>
      <c r="E27" s="60"/>
      <c r="F27" s="109"/>
      <c r="G27" s="60"/>
      <c r="H27" s="60"/>
      <c r="I27" s="60"/>
    </row>
    <row r="28" spans="1:14" ht="15" thickBot="1">
      <c r="A28" s="65" t="s">
        <v>88</v>
      </c>
      <c r="B28" s="148" t="s">
        <v>78</v>
      </c>
      <c r="C28" s="149">
        <f t="shared" ref="C28:G28" si="10">C24-C26</f>
        <v>20622260</v>
      </c>
      <c r="D28" s="149">
        <f t="shared" si="10"/>
        <v>21989906</v>
      </c>
      <c r="E28" s="110">
        <f t="shared" si="10"/>
        <v>23099997</v>
      </c>
      <c r="F28" s="111">
        <f t="shared" si="10"/>
        <v>25713307</v>
      </c>
      <c r="G28" s="110">
        <f t="shared" si="10"/>
        <v>27011793</v>
      </c>
      <c r="H28" s="110">
        <f t="shared" ref="H28:I28" si="11">H24-H26</f>
        <v>31316757</v>
      </c>
      <c r="I28" s="110">
        <f t="shared" si="11"/>
        <v>32898107</v>
      </c>
      <c r="J28" s="109"/>
      <c r="K28" s="109"/>
      <c r="L28" s="109"/>
      <c r="M28" s="109"/>
      <c r="N28" s="109"/>
    </row>
    <row r="29" spans="1:14">
      <c r="A29" s="65"/>
      <c r="B29" s="147"/>
      <c r="C29" s="188"/>
      <c r="D29" s="188"/>
      <c r="E29" s="108"/>
      <c r="F29" s="112"/>
      <c r="G29" s="60"/>
      <c r="H29" s="60"/>
      <c r="I29" s="60"/>
    </row>
    <row r="30" spans="1:14" ht="15" thickBot="1">
      <c r="A30" s="79" t="s">
        <v>89</v>
      </c>
      <c r="B30" s="150"/>
      <c r="C30" s="149">
        <f t="shared" ref="C30:G30" si="12">C13-C28</f>
        <v>4127740.0000000037</v>
      </c>
      <c r="D30" s="149">
        <f t="shared" si="12"/>
        <v>3997594.0000000037</v>
      </c>
      <c r="E30" s="149">
        <f t="shared" si="12"/>
        <v>4186878.0000000037</v>
      </c>
      <c r="F30" s="110">
        <f t="shared" si="12"/>
        <v>4240239</v>
      </c>
      <c r="G30" s="149">
        <f t="shared" si="12"/>
        <v>4439431</v>
      </c>
      <c r="H30" s="149">
        <f t="shared" ref="H30" si="13">H13-H28</f>
        <v>4578661</v>
      </c>
      <c r="I30" s="110">
        <f>I13-I28</f>
        <v>4792081</v>
      </c>
    </row>
    <row r="31" spans="1:14">
      <c r="A31" s="77"/>
      <c r="B31" s="77"/>
    </row>
    <row r="32" spans="1:14">
      <c r="A32" s="77"/>
      <c r="B32" s="77"/>
    </row>
    <row r="36" spans="1:7" ht="15.5">
      <c r="A36" s="35" t="s">
        <v>305</v>
      </c>
      <c r="C36"/>
    </row>
    <row r="37" spans="1:7">
      <c r="A37" s="49"/>
      <c r="C37"/>
    </row>
    <row r="38" spans="1:7">
      <c r="A38" s="49"/>
      <c r="C38"/>
    </row>
    <row r="43" spans="1:7">
      <c r="G43" s="276" t="s">
        <v>128</v>
      </c>
    </row>
  </sheetData>
  <mergeCells count="5">
    <mergeCell ref="A7:B9"/>
    <mergeCell ref="B2:I2"/>
    <mergeCell ref="B3:I3"/>
    <mergeCell ref="B4:I4"/>
    <mergeCell ref="B5:I5"/>
  </mergeCells>
  <pageMargins left="0.7" right="0.7" top="0.75" bottom="0.75" header="0.3" footer="0.3"/>
  <pageSetup scale="8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50"/>
  <sheetViews>
    <sheetView workbookViewId="0">
      <selection activeCell="M10" sqref="M10"/>
    </sheetView>
  </sheetViews>
  <sheetFormatPr defaultColWidth="9" defaultRowHeight="14.5"/>
  <cols>
    <col min="2" max="2" width="18" customWidth="1"/>
    <col min="3" max="3" width="11.81640625" customWidth="1"/>
    <col min="4" max="4" width="12.453125" customWidth="1"/>
    <col min="5" max="5" width="11.7265625" customWidth="1"/>
    <col min="6" max="6" width="11.453125" customWidth="1"/>
    <col min="7" max="7" width="11.1796875" customWidth="1"/>
    <col min="8" max="8" width="12.81640625" customWidth="1"/>
    <col min="9" max="9" width="12.7265625" customWidth="1"/>
  </cols>
  <sheetData>
    <row r="2" spans="1:9" ht="18.5">
      <c r="A2" s="293" t="s">
        <v>302</v>
      </c>
      <c r="B2" s="293"/>
      <c r="C2" s="293"/>
      <c r="D2" s="293"/>
      <c r="E2" s="293"/>
      <c r="F2" s="293"/>
      <c r="G2" s="293"/>
      <c r="H2" s="293"/>
      <c r="I2" s="293"/>
    </row>
    <row r="3" spans="1:9">
      <c r="A3" s="424" t="s">
        <v>323</v>
      </c>
      <c r="B3" s="374"/>
      <c r="C3" s="374"/>
      <c r="D3" s="374"/>
      <c r="E3" s="374"/>
      <c r="F3" s="374"/>
      <c r="G3" s="374"/>
      <c r="H3" s="374"/>
      <c r="I3" s="374"/>
    </row>
    <row r="4" spans="1:9">
      <c r="A4" s="362" t="s">
        <v>325</v>
      </c>
      <c r="B4" s="294"/>
      <c r="C4" s="294"/>
      <c r="D4" s="294"/>
      <c r="E4" s="294"/>
      <c r="F4" s="294"/>
      <c r="G4" s="294"/>
      <c r="H4" s="294"/>
      <c r="I4" s="294"/>
    </row>
    <row r="5" spans="1:9" ht="15.5">
      <c r="A5" s="309" t="s">
        <v>91</v>
      </c>
      <c r="B5" s="309"/>
      <c r="C5" s="309"/>
      <c r="D5" s="309"/>
      <c r="E5" s="309"/>
      <c r="F5" s="309"/>
      <c r="G5" s="309"/>
      <c r="H5" s="309"/>
      <c r="I5" s="309"/>
    </row>
    <row r="6" spans="1:9">
      <c r="A6" s="312"/>
      <c r="B6" s="312"/>
      <c r="C6" s="312"/>
      <c r="D6" s="312"/>
      <c r="E6" s="312"/>
      <c r="F6" s="312"/>
      <c r="G6" s="312"/>
      <c r="H6" s="312"/>
    </row>
    <row r="7" spans="1:9">
      <c r="A7" s="368" t="s">
        <v>73</v>
      </c>
      <c r="B7" s="377"/>
      <c r="C7" s="51" t="s">
        <v>74</v>
      </c>
      <c r="D7" s="51" t="s">
        <v>74</v>
      </c>
      <c r="E7" s="51" t="s">
        <v>74</v>
      </c>
      <c r="F7" s="51" t="s">
        <v>74</v>
      </c>
      <c r="G7" s="52" t="s">
        <v>74</v>
      </c>
      <c r="H7" s="51" t="s">
        <v>74</v>
      </c>
      <c r="I7" s="51" t="s">
        <v>74</v>
      </c>
    </row>
    <row r="8" spans="1:9">
      <c r="A8" s="370"/>
      <c r="B8" s="378"/>
      <c r="C8" s="53" t="s">
        <v>75</v>
      </c>
      <c r="D8" s="1" t="s">
        <v>75</v>
      </c>
      <c r="E8" s="53" t="s">
        <v>75</v>
      </c>
      <c r="F8" s="54" t="s">
        <v>75</v>
      </c>
      <c r="G8" s="1" t="s">
        <v>75</v>
      </c>
      <c r="H8" s="54" t="s">
        <v>75</v>
      </c>
      <c r="I8" s="54" t="s">
        <v>75</v>
      </c>
    </row>
    <row r="9" spans="1:9">
      <c r="A9" s="372"/>
      <c r="B9" s="379"/>
      <c r="C9" s="55">
        <v>2027</v>
      </c>
      <c r="D9" s="55">
        <f>1+C9</f>
        <v>2028</v>
      </c>
      <c r="E9" s="55">
        <f t="shared" ref="E9:I9" si="0">1+D9</f>
        <v>2029</v>
      </c>
      <c r="F9" s="55">
        <f t="shared" si="0"/>
        <v>2030</v>
      </c>
      <c r="G9" s="55">
        <f t="shared" si="0"/>
        <v>2031</v>
      </c>
      <c r="H9" s="55">
        <f t="shared" si="0"/>
        <v>2032</v>
      </c>
      <c r="I9" s="55">
        <f t="shared" si="0"/>
        <v>2033</v>
      </c>
    </row>
    <row r="10" spans="1:9" ht="21">
      <c r="A10" s="56" t="s">
        <v>89</v>
      </c>
      <c r="C10" s="108"/>
      <c r="D10" s="109"/>
      <c r="E10" s="60"/>
      <c r="F10" s="109"/>
      <c r="G10" s="60"/>
      <c r="H10" s="60"/>
      <c r="I10" s="60"/>
    </row>
    <row r="11" spans="1:9">
      <c r="A11" s="65" t="s">
        <v>92</v>
      </c>
      <c r="C11" s="110">
        <f>'trading '!C30</f>
        <v>4127740.0000000037</v>
      </c>
      <c r="D11" s="111">
        <f>'trading '!D30</f>
        <v>3997594.0000000037</v>
      </c>
      <c r="E11" s="110">
        <f>'trading '!E30</f>
        <v>4186878.0000000037</v>
      </c>
      <c r="F11" s="111">
        <f>'trading '!F30</f>
        <v>4240239</v>
      </c>
      <c r="G11" s="110">
        <f>'trading '!G30</f>
        <v>4439431</v>
      </c>
      <c r="H11" s="110">
        <f>'trading '!H30</f>
        <v>4578661</v>
      </c>
      <c r="I11" s="110">
        <f>'trading '!I30</f>
        <v>4792081</v>
      </c>
    </row>
    <row r="12" spans="1:9" ht="15.5">
      <c r="A12" s="58" t="s">
        <v>93</v>
      </c>
      <c r="C12" s="125"/>
      <c r="D12" s="126" t="s">
        <v>94</v>
      </c>
      <c r="E12" s="127" t="s">
        <v>94</v>
      </c>
      <c r="F12" s="125" t="s">
        <v>94</v>
      </c>
      <c r="G12" s="127" t="s">
        <v>94</v>
      </c>
      <c r="H12" s="125" t="s">
        <v>94</v>
      </c>
      <c r="I12" s="125" t="s">
        <v>94</v>
      </c>
    </row>
    <row r="13" spans="1:9" ht="15" thickBot="1">
      <c r="A13" s="58"/>
      <c r="B13" s="77" t="s">
        <v>78</v>
      </c>
      <c r="C13" s="110">
        <f t="shared" ref="C13:I13" si="1">C11</f>
        <v>4127740.0000000037</v>
      </c>
      <c r="D13" s="128">
        <f t="shared" si="1"/>
        <v>3997594.0000000037</v>
      </c>
      <c r="E13" s="111">
        <f t="shared" si="1"/>
        <v>4186878.0000000037</v>
      </c>
      <c r="F13" s="110">
        <f t="shared" si="1"/>
        <v>4240239</v>
      </c>
      <c r="G13" s="111">
        <f t="shared" si="1"/>
        <v>4439431</v>
      </c>
      <c r="H13" s="110">
        <f t="shared" si="1"/>
        <v>4578661</v>
      </c>
      <c r="I13" s="110">
        <f t="shared" si="1"/>
        <v>4792081</v>
      </c>
    </row>
    <row r="14" spans="1:9">
      <c r="A14" s="58"/>
      <c r="C14" s="108"/>
      <c r="D14" s="113"/>
      <c r="E14" s="109"/>
      <c r="F14" s="60"/>
      <c r="G14" s="109"/>
      <c r="H14" s="108"/>
      <c r="I14" s="108"/>
    </row>
    <row r="15" spans="1:9" ht="21">
      <c r="A15" s="56" t="s">
        <v>95</v>
      </c>
      <c r="C15" s="60"/>
      <c r="D15" s="113"/>
      <c r="E15" s="109"/>
      <c r="F15" s="60"/>
      <c r="G15" s="109"/>
      <c r="H15" s="60"/>
      <c r="I15" s="60"/>
    </row>
    <row r="16" spans="1:9" ht="18.5">
      <c r="A16" s="129" t="s">
        <v>96</v>
      </c>
      <c r="C16" s="60"/>
      <c r="D16" s="113"/>
      <c r="E16" s="109"/>
      <c r="F16" s="60"/>
      <c r="G16" s="109"/>
      <c r="H16" s="60"/>
      <c r="I16" s="60"/>
    </row>
    <row r="17" spans="1:14">
      <c r="A17" s="58" t="s">
        <v>97</v>
      </c>
      <c r="C17" s="60">
        <v>30000</v>
      </c>
      <c r="D17" s="60">
        <f>ROUND(C17*10%+C17,0)</f>
        <v>33000</v>
      </c>
      <c r="E17" s="60">
        <f t="shared" ref="E17:G17" si="2">ROUND(D17*10%+D17,0)</f>
        <v>36300</v>
      </c>
      <c r="F17" s="60">
        <f t="shared" si="2"/>
        <v>39930</v>
      </c>
      <c r="G17" s="146">
        <f t="shared" si="2"/>
        <v>43923</v>
      </c>
      <c r="H17" s="60">
        <f t="shared" ref="H17:H19" si="3">ROUND(G17*10%+G17,0)</f>
        <v>48315</v>
      </c>
      <c r="I17" s="60">
        <f t="shared" ref="I17:I19" si="4">ROUND(H17*10%+H17,0)</f>
        <v>53147</v>
      </c>
    </row>
    <row r="18" spans="1:14">
      <c r="A18" s="58" t="s">
        <v>98</v>
      </c>
      <c r="C18" s="60">
        <v>3890</v>
      </c>
      <c r="D18" s="60">
        <f>ROUND(C18*10%+C18,0)</f>
        <v>4279</v>
      </c>
      <c r="E18" s="60">
        <f t="shared" ref="E18:G18" si="5">ROUND(D18*10%+D18,0)</f>
        <v>4707</v>
      </c>
      <c r="F18" s="60">
        <f t="shared" si="5"/>
        <v>5178</v>
      </c>
      <c r="G18" s="146">
        <f t="shared" si="5"/>
        <v>5696</v>
      </c>
      <c r="H18" s="60">
        <f t="shared" si="3"/>
        <v>6266</v>
      </c>
      <c r="I18" s="60">
        <f t="shared" si="4"/>
        <v>6893</v>
      </c>
    </row>
    <row r="19" spans="1:14">
      <c r="A19" s="58" t="s">
        <v>99</v>
      </c>
      <c r="C19" s="60">
        <v>141230</v>
      </c>
      <c r="D19" s="60">
        <f>ROUND(C19*10%+C19,0)</f>
        <v>155353</v>
      </c>
      <c r="E19" s="60">
        <f t="shared" ref="E19:G19" si="6">ROUND(D19*10%+D19,0)</f>
        <v>170888</v>
      </c>
      <c r="F19" s="60">
        <f t="shared" si="6"/>
        <v>187977</v>
      </c>
      <c r="G19" s="146">
        <f t="shared" si="6"/>
        <v>206775</v>
      </c>
      <c r="H19" s="60">
        <f t="shared" si="3"/>
        <v>227453</v>
      </c>
      <c r="I19" s="60">
        <f t="shared" si="4"/>
        <v>250198</v>
      </c>
    </row>
    <row r="20" spans="1:14">
      <c r="A20" s="58" t="s">
        <v>100</v>
      </c>
      <c r="C20" s="260">
        <f>'repayment '!D10</f>
        <v>400500</v>
      </c>
      <c r="D20" s="260">
        <f>'repayment '!D11</f>
        <v>375777</v>
      </c>
      <c r="E20" s="260">
        <f>'repayment '!D12</f>
        <v>316443</v>
      </c>
      <c r="F20" s="260">
        <f>'repayment '!D13</f>
        <v>257109</v>
      </c>
      <c r="G20" s="268">
        <f>'repayment '!D14</f>
        <v>197775</v>
      </c>
      <c r="H20" s="260">
        <f>'repayment '!D15</f>
        <v>138441</v>
      </c>
      <c r="I20" s="260">
        <f>'repayment '!D16</f>
        <v>79107</v>
      </c>
    </row>
    <row r="21" spans="1:14">
      <c r="A21" s="426" t="s">
        <v>287</v>
      </c>
      <c r="C21" s="260">
        <f>'repayment '!F23</f>
        <v>0</v>
      </c>
      <c r="D21" s="260">
        <f>C21</f>
        <v>0</v>
      </c>
      <c r="E21" s="260">
        <f t="shared" ref="E21:I21" si="7">D21</f>
        <v>0</v>
      </c>
      <c r="F21" s="260">
        <f t="shared" si="7"/>
        <v>0</v>
      </c>
      <c r="G21" s="268">
        <f t="shared" si="7"/>
        <v>0</v>
      </c>
      <c r="H21" s="260">
        <f t="shared" si="7"/>
        <v>0</v>
      </c>
      <c r="I21" s="260">
        <f t="shared" si="7"/>
        <v>0</v>
      </c>
    </row>
    <row r="22" spans="1:14">
      <c r="A22" s="58" t="s">
        <v>101</v>
      </c>
      <c r="C22" s="60">
        <v>2130</v>
      </c>
      <c r="D22" s="60">
        <f>ROUND(C22*10%+C22,0)</f>
        <v>2343</v>
      </c>
      <c r="E22" s="60">
        <f t="shared" ref="E22:I22" si="8">ROUND(D22*10%+D22,0)</f>
        <v>2577</v>
      </c>
      <c r="F22" s="60">
        <f t="shared" si="8"/>
        <v>2835</v>
      </c>
      <c r="G22" s="146">
        <f t="shared" si="8"/>
        <v>3119</v>
      </c>
      <c r="H22" s="60">
        <f t="shared" si="8"/>
        <v>3431</v>
      </c>
      <c r="I22" s="60">
        <f t="shared" si="8"/>
        <v>3774</v>
      </c>
    </row>
    <row r="23" spans="1:14">
      <c r="A23" s="375" t="s">
        <v>252</v>
      </c>
      <c r="B23" s="376"/>
      <c r="C23" s="60">
        <v>78670</v>
      </c>
      <c r="D23" s="60">
        <f>ROUND(C23*10%+C23,0)</f>
        <v>86537</v>
      </c>
      <c r="E23" s="60">
        <f t="shared" ref="E23:I23" si="9">ROUND(D23*10%+D23,0)</f>
        <v>95191</v>
      </c>
      <c r="F23" s="60">
        <f>ROUND(E23*30%+E23,0)</f>
        <v>123748</v>
      </c>
      <c r="G23" s="146">
        <f t="shared" si="9"/>
        <v>136123</v>
      </c>
      <c r="H23" s="60">
        <f t="shared" si="9"/>
        <v>149735</v>
      </c>
      <c r="I23" s="60">
        <f t="shared" si="9"/>
        <v>164709</v>
      </c>
    </row>
    <row r="24" spans="1:14">
      <c r="A24" s="58" t="s">
        <v>102</v>
      </c>
      <c r="C24" s="60">
        <v>4800</v>
      </c>
      <c r="D24" s="60">
        <f>ROUND(C24*10%+C24,0)</f>
        <v>5280</v>
      </c>
      <c r="E24" s="60">
        <f t="shared" ref="E24:I24" si="10">ROUND(D24*10%+D24,0)</f>
        <v>5808</v>
      </c>
      <c r="F24" s="60">
        <f t="shared" si="10"/>
        <v>6389</v>
      </c>
      <c r="G24" s="146">
        <f t="shared" si="10"/>
        <v>7028</v>
      </c>
      <c r="H24" s="60">
        <f t="shared" si="10"/>
        <v>7731</v>
      </c>
      <c r="I24" s="60">
        <f t="shared" si="10"/>
        <v>8504</v>
      </c>
      <c r="K24" s="31"/>
    </row>
    <row r="25" spans="1:14">
      <c r="A25" s="58" t="s">
        <v>103</v>
      </c>
      <c r="C25" s="60">
        <f>bs!C26</f>
        <v>1054661</v>
      </c>
      <c r="D25" s="113">
        <f>bs!D26</f>
        <v>896461</v>
      </c>
      <c r="E25" s="109">
        <f>bs!E26</f>
        <v>761992</v>
      </c>
      <c r="F25" s="60">
        <f>bs!F26</f>
        <v>647693</v>
      </c>
      <c r="G25" s="109">
        <f>bs!G26</f>
        <v>550539</v>
      </c>
      <c r="H25" s="60">
        <f>bs!H26</f>
        <v>467958</v>
      </c>
      <c r="I25" s="60">
        <f>bs!I26</f>
        <v>397765</v>
      </c>
      <c r="K25" s="31"/>
    </row>
    <row r="26" spans="1:14">
      <c r="A26" s="58" t="s">
        <v>330</v>
      </c>
      <c r="C26" s="60">
        <v>900000</v>
      </c>
      <c r="D26" s="113">
        <f>C26</f>
        <v>900000</v>
      </c>
      <c r="E26" s="109">
        <f>D26</f>
        <v>900000</v>
      </c>
      <c r="F26" s="60">
        <f>ROUND(E26*10%+E26,0)</f>
        <v>990000</v>
      </c>
      <c r="G26" s="60">
        <f>F26</f>
        <v>990000</v>
      </c>
      <c r="H26" s="60">
        <f>G26</f>
        <v>990000</v>
      </c>
      <c r="I26" s="60">
        <f t="shared" ref="G26:I26" si="11">ROUND(H26*10%+H26,0)</f>
        <v>1089000</v>
      </c>
      <c r="K26" s="31"/>
    </row>
    <row r="27" spans="1:14">
      <c r="A27" s="58" t="s">
        <v>259</v>
      </c>
      <c r="B27" s="190"/>
      <c r="C27" s="60">
        <v>740000</v>
      </c>
      <c r="D27" s="60">
        <f>ROUND(C27*10%+C27,0)</f>
        <v>814000</v>
      </c>
      <c r="E27" s="60">
        <f t="shared" ref="E27:I27" si="12">ROUND(D27*10%+D27,0)</f>
        <v>895400</v>
      </c>
      <c r="F27" s="60">
        <f t="shared" si="12"/>
        <v>984940</v>
      </c>
      <c r="G27" s="146">
        <f t="shared" si="12"/>
        <v>1083434</v>
      </c>
      <c r="H27" s="60">
        <f t="shared" si="12"/>
        <v>1191777</v>
      </c>
      <c r="I27" s="60">
        <f t="shared" si="12"/>
        <v>1310955</v>
      </c>
      <c r="K27" s="31"/>
    </row>
    <row r="28" spans="1:14" ht="15" thickBot="1">
      <c r="A28" s="58"/>
      <c r="B28" s="77" t="s">
        <v>78</v>
      </c>
      <c r="C28" s="114">
        <f t="shared" ref="C28:I28" si="13">SUM(C17:C27)</f>
        <v>3355881</v>
      </c>
      <c r="D28" s="114">
        <f t="shared" si="13"/>
        <v>3273030</v>
      </c>
      <c r="E28" s="114">
        <f t="shared" si="13"/>
        <v>3189306</v>
      </c>
      <c r="F28" s="114">
        <f t="shared" si="13"/>
        <v>3245799</v>
      </c>
      <c r="G28" s="269">
        <f t="shared" si="13"/>
        <v>3224412</v>
      </c>
      <c r="H28" s="114">
        <f t="shared" si="13"/>
        <v>3231107</v>
      </c>
      <c r="I28" s="114">
        <f t="shared" si="13"/>
        <v>3364052</v>
      </c>
      <c r="K28" s="31"/>
    </row>
    <row r="29" spans="1:14">
      <c r="A29" s="58"/>
      <c r="C29" s="60"/>
      <c r="D29" s="109"/>
      <c r="E29" s="60"/>
      <c r="F29" s="108"/>
      <c r="G29" s="191"/>
      <c r="H29" s="108"/>
      <c r="I29" s="108"/>
    </row>
    <row r="30" spans="1:14">
      <c r="A30" s="65" t="s">
        <v>104</v>
      </c>
      <c r="B30" s="77"/>
      <c r="C30" s="60">
        <f t="shared" ref="C30:I30" si="14">C13-C28</f>
        <v>771859.00000000373</v>
      </c>
      <c r="D30" s="109">
        <f t="shared" si="14"/>
        <v>724564.00000000373</v>
      </c>
      <c r="E30" s="60">
        <f t="shared" si="14"/>
        <v>997572.00000000373</v>
      </c>
      <c r="F30" s="60">
        <f t="shared" si="14"/>
        <v>994440</v>
      </c>
      <c r="G30" s="191">
        <f t="shared" si="14"/>
        <v>1215019</v>
      </c>
      <c r="H30" s="60">
        <f t="shared" si="14"/>
        <v>1347554</v>
      </c>
      <c r="I30" s="60">
        <f t="shared" si="14"/>
        <v>1428029</v>
      </c>
      <c r="J30" s="1"/>
      <c r="K30" s="1"/>
      <c r="L30" s="1"/>
      <c r="M30" s="1"/>
      <c r="N30" s="1"/>
    </row>
    <row r="31" spans="1:14">
      <c r="A31" s="65" t="s">
        <v>105</v>
      </c>
      <c r="B31" s="77"/>
      <c r="C31" s="60">
        <v>0</v>
      </c>
      <c r="D31" s="109">
        <v>0</v>
      </c>
      <c r="E31" s="60">
        <v>0</v>
      </c>
      <c r="F31" s="60"/>
      <c r="G31" s="109"/>
      <c r="H31" s="60">
        <f>20000+40000+20100</f>
        <v>80100</v>
      </c>
      <c r="I31" s="60">
        <f>20000+40000+34200</f>
        <v>94200</v>
      </c>
      <c r="J31" s="109"/>
    </row>
    <row r="32" spans="1:14" ht="15" thickBot="1">
      <c r="A32" s="65" t="s">
        <v>106</v>
      </c>
      <c r="B32" s="77"/>
      <c r="C32" s="114">
        <f t="shared" ref="C32:I32" si="15">C30-C31</f>
        <v>771859.00000000373</v>
      </c>
      <c r="D32" s="116">
        <f t="shared" si="15"/>
        <v>724564.00000000373</v>
      </c>
      <c r="E32" s="114">
        <f t="shared" si="15"/>
        <v>997572.00000000373</v>
      </c>
      <c r="F32" s="114">
        <f t="shared" si="15"/>
        <v>994440</v>
      </c>
      <c r="G32" s="283">
        <f t="shared" si="15"/>
        <v>1215019</v>
      </c>
      <c r="H32" s="114">
        <f t="shared" si="15"/>
        <v>1267454</v>
      </c>
      <c r="I32" s="114">
        <f t="shared" si="15"/>
        <v>1333829</v>
      </c>
      <c r="J32" s="124"/>
      <c r="K32" s="124"/>
      <c r="L32" s="124"/>
      <c r="M32" s="124"/>
      <c r="N32" s="124"/>
    </row>
    <row r="33" spans="1:11">
      <c r="A33" s="58"/>
      <c r="C33" s="54"/>
      <c r="D33" s="1"/>
      <c r="E33" s="54"/>
      <c r="F33" s="1"/>
      <c r="G33" s="54"/>
      <c r="H33" s="54"/>
      <c r="I33" s="54"/>
    </row>
    <row r="34" spans="1:11">
      <c r="A34" s="65" t="s">
        <v>107</v>
      </c>
      <c r="C34" s="130">
        <f>Ratio!C39</f>
        <v>3.1186222222222369E-2</v>
      </c>
      <c r="D34" s="131">
        <f>Ratio!D39</f>
        <v>2.788125060125074E-2</v>
      </c>
      <c r="E34" s="130">
        <f>Ratio!E39</f>
        <v>3.6558675187246745E-2</v>
      </c>
      <c r="F34" s="131">
        <f>Ratio!F39</f>
        <v>3.3199408176915017E-2</v>
      </c>
      <c r="G34" s="130">
        <f>Ratio!G39</f>
        <v>3.8631851021124014E-2</v>
      </c>
      <c r="H34" s="130">
        <f>Ratio!H39</f>
        <v>3.530963199815642E-2</v>
      </c>
      <c r="I34" s="130">
        <f>Ratio!I39</f>
        <v>3.538929017812275E-2</v>
      </c>
      <c r="K34" s="31"/>
    </row>
    <row r="35" spans="1:11">
      <c r="A35" s="120"/>
      <c r="B35" s="93"/>
      <c r="C35" s="55"/>
      <c r="D35" s="50"/>
      <c r="E35" s="55"/>
      <c r="F35" s="50"/>
      <c r="G35" s="55"/>
      <c r="H35" s="55"/>
      <c r="I35" s="55"/>
    </row>
    <row r="36" spans="1:11">
      <c r="A36" s="77"/>
      <c r="D36" s="40"/>
      <c r="E36" s="40"/>
      <c r="F36" s="40"/>
      <c r="G36" s="40"/>
      <c r="H36" s="40"/>
      <c r="K36" s="31"/>
    </row>
    <row r="37" spans="1:11">
      <c r="A37" s="77"/>
    </row>
    <row r="40" spans="1:11" ht="15.5">
      <c r="A40" s="35" t="s">
        <v>305</v>
      </c>
    </row>
    <row r="41" spans="1:11">
      <c r="A41" s="49"/>
    </row>
    <row r="42" spans="1:11">
      <c r="A42" s="49"/>
    </row>
    <row r="50" spans="8:8">
      <c r="H50" s="277" t="s">
        <v>129</v>
      </c>
    </row>
  </sheetData>
  <mergeCells count="7">
    <mergeCell ref="A6:H6"/>
    <mergeCell ref="A23:B23"/>
    <mergeCell ref="A7:B9"/>
    <mergeCell ref="A2:I2"/>
    <mergeCell ref="A3:I3"/>
    <mergeCell ref="A4:I4"/>
    <mergeCell ref="A5:I5"/>
  </mergeCells>
  <pageMargins left="0.7" right="0.7" top="0.75" bottom="0.75" header="0.3" footer="0.3"/>
  <pageSetup paperSize="9" scale="7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6"/>
  <sheetViews>
    <sheetView topLeftCell="A16" workbookViewId="0">
      <selection activeCell="J36" sqref="J36"/>
    </sheetView>
  </sheetViews>
  <sheetFormatPr defaultColWidth="9" defaultRowHeight="14.5"/>
  <cols>
    <col min="2" max="2" width="14.1796875" customWidth="1"/>
    <col min="3" max="4" width="12.453125" customWidth="1"/>
    <col min="5" max="6" width="12" bestFit="1" customWidth="1"/>
    <col min="7" max="7" width="12.36328125" bestFit="1" customWidth="1"/>
    <col min="8" max="9" width="13.08984375" bestFit="1" customWidth="1"/>
  </cols>
  <sheetData>
    <row r="2" spans="1:14" ht="18.5">
      <c r="A2" s="293" t="s">
        <v>302</v>
      </c>
      <c r="B2" s="293"/>
      <c r="C2" s="293"/>
      <c r="D2" s="293"/>
      <c r="E2" s="293"/>
      <c r="F2" s="293"/>
      <c r="G2" s="293"/>
      <c r="H2" s="293"/>
      <c r="I2" s="293"/>
    </row>
    <row r="3" spans="1:14">
      <c r="A3" s="424" t="s">
        <v>324</v>
      </c>
      <c r="B3" s="374"/>
      <c r="C3" s="374"/>
      <c r="D3" s="374"/>
      <c r="E3" s="374"/>
      <c r="F3" s="374"/>
      <c r="G3" s="374"/>
      <c r="H3" s="374"/>
      <c r="I3" s="374"/>
    </row>
    <row r="4" spans="1:14">
      <c r="A4" s="362" t="s">
        <v>325</v>
      </c>
      <c r="B4" s="294"/>
      <c r="C4" s="294"/>
      <c r="D4" s="294"/>
      <c r="E4" s="294"/>
      <c r="F4" s="294"/>
      <c r="G4" s="294"/>
      <c r="H4" s="294"/>
      <c r="I4" s="294"/>
    </row>
    <row r="5" spans="1:14" ht="15" customHeight="1">
      <c r="A5" s="296" t="s">
        <v>109</v>
      </c>
      <c r="B5" s="309"/>
      <c r="C5" s="309"/>
      <c r="D5" s="309"/>
      <c r="E5" s="309"/>
      <c r="F5" s="309"/>
      <c r="G5" s="309"/>
      <c r="H5" s="309"/>
      <c r="I5" s="309"/>
    </row>
    <row r="6" spans="1:14">
      <c r="A6" s="312"/>
      <c r="B6" s="312"/>
      <c r="C6" s="312"/>
      <c r="D6" s="312"/>
      <c r="E6" s="312"/>
      <c r="F6" s="312"/>
      <c r="G6" s="312"/>
      <c r="H6" s="312"/>
    </row>
    <row r="7" spans="1:14" ht="15" thickBot="1">
      <c r="A7" s="368" t="s">
        <v>73</v>
      </c>
      <c r="B7" s="377"/>
      <c r="C7" s="51" t="s">
        <v>74</v>
      </c>
      <c r="D7" s="107" t="s">
        <v>74</v>
      </c>
      <c r="E7" s="51" t="s">
        <v>74</v>
      </c>
      <c r="F7" s="51" t="s">
        <v>74</v>
      </c>
      <c r="G7" s="52" t="s">
        <v>74</v>
      </c>
      <c r="H7" s="51" t="s">
        <v>74</v>
      </c>
      <c r="I7" s="51" t="s">
        <v>74</v>
      </c>
    </row>
    <row r="8" spans="1:14">
      <c r="A8" s="370"/>
      <c r="B8" s="378"/>
      <c r="C8" s="54" t="s">
        <v>75</v>
      </c>
      <c r="D8" s="1" t="s">
        <v>75</v>
      </c>
      <c r="E8" s="53" t="s">
        <v>75</v>
      </c>
      <c r="F8" s="53" t="s">
        <v>75</v>
      </c>
      <c r="G8" s="53" t="s">
        <v>75</v>
      </c>
      <c r="H8" s="53" t="s">
        <v>75</v>
      </c>
      <c r="I8" s="53" t="s">
        <v>75</v>
      </c>
    </row>
    <row r="9" spans="1:14" ht="15" thickBot="1">
      <c r="A9" s="372"/>
      <c r="B9" s="379"/>
      <c r="C9" s="55">
        <v>2027</v>
      </c>
      <c r="D9" s="55">
        <f>1+C9</f>
        <v>2028</v>
      </c>
      <c r="E9" s="55">
        <f t="shared" ref="E9:I9" si="0">1+D9</f>
        <v>2029</v>
      </c>
      <c r="F9" s="55">
        <f t="shared" si="0"/>
        <v>2030</v>
      </c>
      <c r="G9" s="55">
        <f t="shared" si="0"/>
        <v>2031</v>
      </c>
      <c r="H9" s="55">
        <f t="shared" si="0"/>
        <v>2032</v>
      </c>
      <c r="I9" s="55">
        <f t="shared" si="0"/>
        <v>2033</v>
      </c>
    </row>
    <row r="10" spans="1:14" ht="21">
      <c r="A10" s="56" t="s">
        <v>110</v>
      </c>
      <c r="C10" s="108"/>
      <c r="D10" s="109"/>
      <c r="E10" s="108"/>
      <c r="F10" s="191"/>
      <c r="G10" s="108"/>
      <c r="H10" s="195"/>
      <c r="I10" s="108"/>
    </row>
    <row r="11" spans="1:14">
      <c r="A11" s="58" t="s">
        <v>111</v>
      </c>
      <c r="C11" s="60">
        <v>4877560</v>
      </c>
      <c r="D11" s="109">
        <f t="shared" ref="D11:I11" si="1">C14</f>
        <v>5223819.0000000037</v>
      </c>
      <c r="E11" s="60">
        <f t="shared" si="1"/>
        <v>5480223.0000000075</v>
      </c>
      <c r="F11" s="191">
        <f t="shared" si="1"/>
        <v>5962819.0000000112</v>
      </c>
      <c r="G11" s="60">
        <f>F14</f>
        <v>6390785.0000000112</v>
      </c>
      <c r="H11" s="191">
        <f>G14</f>
        <v>6982683.0000000112</v>
      </c>
      <c r="I11" s="60">
        <f t="shared" si="1"/>
        <v>7564704.0000000112</v>
      </c>
    </row>
    <row r="12" spans="1:14">
      <c r="A12" s="58" t="s">
        <v>112</v>
      </c>
      <c r="C12" s="60">
        <f>pnl!C32</f>
        <v>771859.00000000373</v>
      </c>
      <c r="D12" s="109">
        <f>pnl!D32</f>
        <v>724564.00000000373</v>
      </c>
      <c r="E12" s="60">
        <f>pnl!E32</f>
        <v>997572.00000000373</v>
      </c>
      <c r="F12" s="191">
        <f>pnl!F32</f>
        <v>994440</v>
      </c>
      <c r="G12" s="60">
        <f>pnl!G32</f>
        <v>1215019</v>
      </c>
      <c r="H12" s="191">
        <f>pnl!H32</f>
        <v>1267454</v>
      </c>
      <c r="I12" s="60">
        <f>pnl!I32</f>
        <v>1333829</v>
      </c>
    </row>
    <row r="13" spans="1:14">
      <c r="A13" s="58" t="s">
        <v>113</v>
      </c>
      <c r="C13" s="60">
        <v>425600</v>
      </c>
      <c r="D13" s="109">
        <f>ROUND(C13*10%+C13,0)</f>
        <v>468160</v>
      </c>
      <c r="E13" s="60">
        <f t="shared" ref="E13:F13" si="2">ROUND(D13*10%+D13,0)</f>
        <v>514976</v>
      </c>
      <c r="F13" s="109">
        <f t="shared" si="2"/>
        <v>566474</v>
      </c>
      <c r="G13" s="60">
        <f>ROUND(F13*10%+F13,0)</f>
        <v>623121</v>
      </c>
      <c r="H13" s="60">
        <f>ROUND(G13*10%+G13,0)</f>
        <v>685433</v>
      </c>
      <c r="I13" s="60">
        <f>ROUND(H13*10%+H13,0)</f>
        <v>753976</v>
      </c>
    </row>
    <row r="14" spans="1:14" ht="15" thickBot="1">
      <c r="A14" s="58"/>
      <c r="C14" s="110">
        <f t="shared" ref="C14:I14" si="3">C11+C12-C13</f>
        <v>5223819.0000000037</v>
      </c>
      <c r="D14" s="111">
        <f t="shared" si="3"/>
        <v>5480223.0000000075</v>
      </c>
      <c r="E14" s="110">
        <f t="shared" si="3"/>
        <v>5962819.0000000112</v>
      </c>
      <c r="F14" s="111">
        <f t="shared" si="3"/>
        <v>6390785.0000000112</v>
      </c>
      <c r="G14" s="110">
        <f t="shared" si="3"/>
        <v>6982683.0000000112</v>
      </c>
      <c r="H14" s="111">
        <f t="shared" si="3"/>
        <v>7564704.0000000112</v>
      </c>
      <c r="I14" s="110">
        <f t="shared" si="3"/>
        <v>8144557.0000000112</v>
      </c>
      <c r="J14" s="109"/>
      <c r="K14" s="109"/>
      <c r="L14" s="109"/>
      <c r="M14" s="109"/>
      <c r="N14" s="109"/>
    </row>
    <row r="15" spans="1:14" ht="21">
      <c r="A15" s="56" t="s">
        <v>114</v>
      </c>
      <c r="C15" s="108"/>
      <c r="D15" s="112"/>
      <c r="E15" s="109"/>
      <c r="F15" s="108"/>
      <c r="G15" s="109"/>
      <c r="H15" s="108"/>
      <c r="I15" s="108"/>
    </row>
    <row r="16" spans="1:14">
      <c r="A16" s="58"/>
      <c r="C16" s="60"/>
      <c r="D16" s="113"/>
      <c r="E16" s="109"/>
      <c r="F16" s="60"/>
      <c r="G16" s="109"/>
      <c r="H16" s="60"/>
      <c r="I16" s="60"/>
    </row>
    <row r="17" spans="1:15">
      <c r="A17" s="58" t="s">
        <v>115</v>
      </c>
      <c r="C17" s="267">
        <f>'repayment '!F10</f>
        <v>4175305</v>
      </c>
      <c r="D17" s="271">
        <f>'repayment '!F11</f>
        <v>3516037</v>
      </c>
      <c r="E17" s="272">
        <f>'repayment '!F12</f>
        <v>2856769</v>
      </c>
      <c r="F17" s="267">
        <f>'repayment '!F13</f>
        <v>2197501</v>
      </c>
      <c r="G17" s="272">
        <f>'repayment '!F14</f>
        <v>1538233</v>
      </c>
      <c r="H17" s="267">
        <f>'repayment '!F15</f>
        <v>878965</v>
      </c>
      <c r="I17" s="267">
        <f>'repayment '!F16</f>
        <v>219697</v>
      </c>
    </row>
    <row r="18" spans="1:15">
      <c r="A18" s="58" t="s">
        <v>116</v>
      </c>
      <c r="C18" s="60">
        <v>0</v>
      </c>
      <c r="D18" s="113">
        <v>0</v>
      </c>
      <c r="E18" s="113">
        <f>D18</f>
        <v>0</v>
      </c>
      <c r="F18" s="113">
        <f t="shared" ref="E18:I18" si="4">E18</f>
        <v>0</v>
      </c>
      <c r="G18" s="113">
        <f t="shared" si="4"/>
        <v>0</v>
      </c>
      <c r="H18" s="113">
        <f t="shared" si="4"/>
        <v>0</v>
      </c>
      <c r="I18" s="113">
        <f t="shared" si="4"/>
        <v>0</v>
      </c>
    </row>
    <row r="19" spans="1:15">
      <c r="A19" s="58"/>
      <c r="C19" s="60"/>
      <c r="D19" s="113"/>
      <c r="E19" s="109"/>
      <c r="F19" s="60"/>
      <c r="G19" s="109"/>
      <c r="H19" s="60"/>
      <c r="I19" s="60"/>
    </row>
    <row r="20" spans="1:15" ht="21">
      <c r="A20" s="56" t="s">
        <v>117</v>
      </c>
      <c r="C20" s="267"/>
      <c r="D20" s="271"/>
      <c r="E20" s="272"/>
      <c r="F20" s="267"/>
      <c r="G20" s="272"/>
      <c r="H20" s="267"/>
      <c r="I20" s="267"/>
      <c r="O20" s="189"/>
    </row>
    <row r="21" spans="1:15">
      <c r="A21" s="58" t="s">
        <v>118</v>
      </c>
      <c r="C21" s="60">
        <v>1312400</v>
      </c>
      <c r="D21" s="113">
        <f>ROUND(C21*10%+C21,0)</f>
        <v>1443640</v>
      </c>
      <c r="E21" s="113">
        <f t="shared" ref="E21" si="5">ROUND(D21*10%+D21,0)</f>
        <v>1588004</v>
      </c>
      <c r="F21" s="113">
        <f>ROUND(E21*30%+E21,0)</f>
        <v>2064405</v>
      </c>
      <c r="G21" s="113">
        <f>ROUND(F21*20%+F21,0)</f>
        <v>2477286</v>
      </c>
      <c r="H21" s="113">
        <f>ROUND(G21*20%+G21,0)</f>
        <v>2972743</v>
      </c>
      <c r="I21" s="113">
        <f>ROUND(H21*30%+H21,0)</f>
        <v>3864566</v>
      </c>
    </row>
    <row r="22" spans="1:15">
      <c r="A22" s="58"/>
      <c r="B22" s="77" t="s">
        <v>78</v>
      </c>
      <c r="C22" s="270">
        <f>C17+C21+C14+C18+C20</f>
        <v>10711524.000000004</v>
      </c>
      <c r="D22" s="273">
        <f>D17+D21+D14+D18+D20</f>
        <v>10439900.000000007</v>
      </c>
      <c r="E22" s="274">
        <f>E14+E17+E21+E18+E20</f>
        <v>10407592.000000011</v>
      </c>
      <c r="F22" s="270">
        <f>F14+F17+F21+F18+F20</f>
        <v>10652691.000000011</v>
      </c>
      <c r="G22" s="274">
        <f>G14+G17+G21+G18+G20</f>
        <v>10998202.000000011</v>
      </c>
      <c r="H22" s="270">
        <f>H14+H17+H21+H18+H20</f>
        <v>11416412.000000011</v>
      </c>
      <c r="I22" s="270">
        <f>I14+I17+I21+I18+I20</f>
        <v>12228820.000000011</v>
      </c>
      <c r="J22" s="124"/>
      <c r="K22" s="124"/>
      <c r="L22" s="124"/>
      <c r="M22" s="124"/>
      <c r="N22" s="124"/>
    </row>
    <row r="23" spans="1:15">
      <c r="A23" s="58"/>
      <c r="C23" s="108"/>
      <c r="D23" s="113"/>
      <c r="E23" s="109"/>
      <c r="F23" s="60"/>
      <c r="G23" s="109"/>
      <c r="H23" s="60"/>
      <c r="I23" s="60"/>
    </row>
    <row r="24" spans="1:15" ht="21">
      <c r="A24" s="56" t="s">
        <v>119</v>
      </c>
      <c r="C24" s="60"/>
      <c r="D24" s="113"/>
      <c r="E24" s="109"/>
      <c r="F24" s="60"/>
      <c r="G24" s="109"/>
      <c r="H24" s="60"/>
      <c r="I24" s="60"/>
    </row>
    <row r="25" spans="1:15">
      <c r="A25" s="58" t="s">
        <v>119</v>
      </c>
      <c r="C25" s="60">
        <f>FA!F12</f>
        <v>7031070</v>
      </c>
      <c r="D25" s="113">
        <f>FA!F21</f>
        <v>5976410</v>
      </c>
      <c r="E25" s="113">
        <f>FA!F30</f>
        <v>5079948</v>
      </c>
      <c r="F25" s="60">
        <f>FA!F44</f>
        <v>4317956</v>
      </c>
      <c r="G25" s="109">
        <f>FA!F54</f>
        <v>3670262</v>
      </c>
      <c r="H25" s="60">
        <f>FA!F76</f>
        <v>3119723</v>
      </c>
      <c r="I25" s="60">
        <f>FA!F86</f>
        <v>2651765</v>
      </c>
    </row>
    <row r="26" spans="1:15">
      <c r="A26" s="58" t="s">
        <v>120</v>
      </c>
      <c r="C26" s="60">
        <f>FA!G12</f>
        <v>1054661</v>
      </c>
      <c r="D26" s="113">
        <f>FA!G21</f>
        <v>896461</v>
      </c>
      <c r="E26" s="109">
        <f>FA!G30</f>
        <v>761992</v>
      </c>
      <c r="F26" s="60">
        <f>FA!G44</f>
        <v>647693</v>
      </c>
      <c r="G26" s="109">
        <f>FA!G54</f>
        <v>550539</v>
      </c>
      <c r="H26" s="60">
        <f>FA!G76</f>
        <v>467958</v>
      </c>
      <c r="I26" s="60">
        <f>FA!G86</f>
        <v>397765</v>
      </c>
    </row>
    <row r="27" spans="1:15" ht="15" thickBot="1">
      <c r="A27" s="58"/>
      <c r="C27" s="114">
        <f t="shared" ref="C27:I27" si="6">C25-C26</f>
        <v>5976409</v>
      </c>
      <c r="D27" s="115">
        <f>D25-D26</f>
        <v>5079949</v>
      </c>
      <c r="E27" s="115">
        <f t="shared" si="6"/>
        <v>4317956</v>
      </c>
      <c r="F27" s="115">
        <f>F25-F26</f>
        <v>3670263</v>
      </c>
      <c r="G27" s="115">
        <f t="shared" si="6"/>
        <v>3119723</v>
      </c>
      <c r="H27" s="115">
        <f t="shared" si="6"/>
        <v>2651765</v>
      </c>
      <c r="I27" s="115">
        <f t="shared" si="6"/>
        <v>2254000</v>
      </c>
      <c r="J27" s="124"/>
      <c r="K27" s="124"/>
      <c r="L27" s="124"/>
      <c r="M27" s="124"/>
      <c r="N27" s="124"/>
    </row>
    <row r="28" spans="1:15">
      <c r="A28" s="58"/>
      <c r="C28" s="60"/>
      <c r="D28" s="113"/>
      <c r="E28" s="108"/>
      <c r="F28" s="112"/>
      <c r="G28" s="109"/>
      <c r="H28" s="108"/>
      <c r="I28" s="108"/>
    </row>
    <row r="29" spans="1:15" ht="23.5">
      <c r="A29" s="117" t="s">
        <v>121</v>
      </c>
      <c r="C29" s="60"/>
      <c r="D29" s="113"/>
      <c r="E29" s="60"/>
      <c r="F29" s="113"/>
      <c r="G29" s="109"/>
      <c r="H29" s="60"/>
      <c r="I29" s="60"/>
    </row>
    <row r="30" spans="1:15">
      <c r="A30" s="58" t="s">
        <v>122</v>
      </c>
      <c r="C30" s="60">
        <v>250000</v>
      </c>
      <c r="D30" s="113">
        <f>ROUND(C30*20%+C30,0)</f>
        <v>300000</v>
      </c>
      <c r="E30" s="113">
        <f t="shared" ref="E30" si="7">ROUND(D30*20%+D30,0)</f>
        <v>360000</v>
      </c>
      <c r="F30" s="113">
        <v>680401</v>
      </c>
      <c r="G30" s="113">
        <v>858062</v>
      </c>
      <c r="H30" s="113">
        <v>1075413</v>
      </c>
      <c r="I30" s="113">
        <v>1075000</v>
      </c>
    </row>
    <row r="31" spans="1:15">
      <c r="A31" s="58"/>
      <c r="C31" s="60"/>
      <c r="D31" s="113"/>
      <c r="E31" s="60"/>
      <c r="F31" s="113"/>
      <c r="G31" s="109"/>
      <c r="H31" s="60"/>
      <c r="I31" s="60"/>
    </row>
    <row r="32" spans="1:15" ht="23.5">
      <c r="A32" s="117" t="s">
        <v>123</v>
      </c>
      <c r="C32" s="60"/>
      <c r="D32" s="113"/>
      <c r="E32" s="60"/>
      <c r="F32" s="113"/>
      <c r="G32" s="109"/>
      <c r="H32" s="60"/>
      <c r="I32" s="60"/>
    </row>
    <row r="33" spans="1:9">
      <c r="A33" s="58" t="s">
        <v>124</v>
      </c>
      <c r="C33" s="60">
        <f>'trading '!C26</f>
        <v>2431200</v>
      </c>
      <c r="D33" s="113">
        <f>'trading '!D26</f>
        <v>2674320</v>
      </c>
      <c r="E33" s="60">
        <f>'trading '!E26</f>
        <v>2941752</v>
      </c>
      <c r="F33" s="113">
        <f>'trading '!F26</f>
        <v>3235927</v>
      </c>
      <c r="G33" s="109">
        <f>'trading '!G26</f>
        <v>3559520</v>
      </c>
      <c r="H33" s="60">
        <f>'trading '!H26</f>
        <v>3915472</v>
      </c>
      <c r="I33" s="60">
        <f>'trading '!I26</f>
        <v>4307019</v>
      </c>
    </row>
    <row r="34" spans="1:9">
      <c r="A34" s="58" t="s">
        <v>125</v>
      </c>
      <c r="C34" s="60">
        <v>1432100</v>
      </c>
      <c r="D34" s="113">
        <f>ROUND(C34*10%+C34,0)</f>
        <v>1575310</v>
      </c>
      <c r="E34" s="113">
        <f t="shared" ref="E34:I34" si="8">ROUND(D34*10%+D34,0)</f>
        <v>1732841</v>
      </c>
      <c r="F34" s="113">
        <f t="shared" si="8"/>
        <v>1906125</v>
      </c>
      <c r="G34" s="113">
        <f t="shared" si="8"/>
        <v>2096738</v>
      </c>
      <c r="H34" s="113">
        <f t="shared" si="8"/>
        <v>2306412</v>
      </c>
      <c r="I34" s="113">
        <f t="shared" si="8"/>
        <v>2537053</v>
      </c>
    </row>
    <row r="35" spans="1:9">
      <c r="A35" s="58" t="s">
        <v>126</v>
      </c>
      <c r="C35" s="60">
        <v>360000</v>
      </c>
      <c r="D35" s="113">
        <f>ROUND(C35*10%+C35,0)</f>
        <v>396000</v>
      </c>
      <c r="E35" s="113">
        <f t="shared" ref="E35:I35" si="9">ROUND(D35*10%+D35,0)</f>
        <v>435600</v>
      </c>
      <c r="F35" s="113">
        <f t="shared" si="9"/>
        <v>479160</v>
      </c>
      <c r="G35" s="113">
        <f t="shared" si="9"/>
        <v>527076</v>
      </c>
      <c r="H35" s="113">
        <f t="shared" si="9"/>
        <v>579784</v>
      </c>
      <c r="I35" s="113">
        <f t="shared" si="9"/>
        <v>637762</v>
      </c>
    </row>
    <row r="36" spans="1:9">
      <c r="A36" s="58" t="s">
        <v>127</v>
      </c>
      <c r="C36" s="60">
        <v>261815</v>
      </c>
      <c r="D36" s="113">
        <v>414321</v>
      </c>
      <c r="E36" s="60">
        <v>619443</v>
      </c>
      <c r="F36" s="113">
        <v>680815</v>
      </c>
      <c r="G36" s="109">
        <v>837083</v>
      </c>
      <c r="H36" s="60">
        <v>887566</v>
      </c>
      <c r="I36" s="60">
        <v>1417986</v>
      </c>
    </row>
    <row r="37" spans="1:9" ht="15" thickBot="1">
      <c r="A37" s="58"/>
      <c r="C37" s="118"/>
      <c r="D37" s="119"/>
      <c r="E37" s="118"/>
      <c r="F37" s="119"/>
      <c r="G37" s="109"/>
      <c r="H37" s="118"/>
      <c r="I37" s="118"/>
    </row>
    <row r="38" spans="1:9" ht="15" thickBot="1">
      <c r="A38" s="120"/>
      <c r="B38" s="80" t="s">
        <v>78</v>
      </c>
      <c r="C38" s="121">
        <f t="shared" ref="C38:I38" si="10">C27+C33+C34+C35+C36+C30</f>
        <v>10711524</v>
      </c>
      <c r="D38" s="122">
        <f t="shared" si="10"/>
        <v>10439900</v>
      </c>
      <c r="E38" s="123">
        <f t="shared" si="10"/>
        <v>10407592</v>
      </c>
      <c r="F38" s="123">
        <f t="shared" si="10"/>
        <v>10652691</v>
      </c>
      <c r="G38" s="123">
        <f t="shared" si="10"/>
        <v>10998202</v>
      </c>
      <c r="H38" s="121">
        <f t="shared" si="10"/>
        <v>11416412</v>
      </c>
      <c r="I38" s="121">
        <f t="shared" si="10"/>
        <v>12228820</v>
      </c>
    </row>
    <row r="39" spans="1:9">
      <c r="C39" s="275">
        <f>C38-C22</f>
        <v>0</v>
      </c>
      <c r="D39" s="275">
        <f t="shared" ref="D39:I39" si="11">D38-D22</f>
        <v>0</v>
      </c>
      <c r="E39" s="275">
        <f t="shared" si="11"/>
        <v>0</v>
      </c>
      <c r="F39" s="275">
        <f t="shared" si="11"/>
        <v>0</v>
      </c>
      <c r="G39" s="275">
        <f t="shared" si="11"/>
        <v>0</v>
      </c>
      <c r="H39" s="275">
        <f t="shared" si="11"/>
        <v>0</v>
      </c>
      <c r="I39" s="275">
        <f t="shared" si="11"/>
        <v>0</v>
      </c>
    </row>
    <row r="40" spans="1:9" ht="15.5">
      <c r="A40" s="35" t="s">
        <v>305</v>
      </c>
    </row>
    <row r="41" spans="1:9">
      <c r="A41" s="49"/>
    </row>
    <row r="42" spans="1:9">
      <c r="A42" s="49"/>
    </row>
    <row r="46" spans="1:9">
      <c r="G46" s="277" t="s">
        <v>156</v>
      </c>
    </row>
  </sheetData>
  <mergeCells count="6">
    <mergeCell ref="A6:H6"/>
    <mergeCell ref="A7:B9"/>
    <mergeCell ref="A2:I2"/>
    <mergeCell ref="A3:I3"/>
    <mergeCell ref="A4:I4"/>
    <mergeCell ref="A5:I5"/>
  </mergeCells>
  <pageMargins left="0.7" right="0.7" top="0.75" bottom="0.75" header="0.3" footer="0.3"/>
  <pageSetup paperSize="9" scale="7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1"/>
  <sheetViews>
    <sheetView topLeftCell="A70" workbookViewId="0">
      <selection activeCell="D12" sqref="D12"/>
    </sheetView>
  </sheetViews>
  <sheetFormatPr defaultColWidth="9" defaultRowHeight="14.5"/>
  <cols>
    <col min="1" max="1" width="20.54296875" customWidth="1"/>
    <col min="3" max="3" width="10.81640625" customWidth="1"/>
    <col min="4" max="4" width="16.7265625" customWidth="1"/>
    <col min="5" max="5" width="14.26953125" customWidth="1"/>
    <col min="6" max="6" width="13.1796875" customWidth="1"/>
    <col min="7" max="7" width="12.453125" customWidth="1"/>
    <col min="8" max="8" width="19.54296875" customWidth="1"/>
  </cols>
  <sheetData>
    <row r="2" spans="1:10" ht="18.5">
      <c r="A2" s="380" t="s">
        <v>306</v>
      </c>
      <c r="B2" s="293"/>
      <c r="C2" s="293"/>
      <c r="D2" s="293"/>
      <c r="E2" s="293"/>
      <c r="F2" s="293"/>
      <c r="G2" s="293"/>
      <c r="H2" s="293"/>
      <c r="I2" s="277" t="s">
        <v>163</v>
      </c>
      <c r="J2" s="106"/>
    </row>
    <row r="3" spans="1:10" ht="18.5">
      <c r="A3" s="424" t="s">
        <v>323</v>
      </c>
      <c r="B3" s="374"/>
      <c r="C3" s="374"/>
      <c r="D3" s="374"/>
      <c r="E3" s="374"/>
      <c r="F3" s="374"/>
      <c r="G3" s="374"/>
      <c r="H3" s="374"/>
      <c r="I3" s="374"/>
      <c r="J3" s="106"/>
    </row>
    <row r="4" spans="1:10">
      <c r="A4" s="362" t="s">
        <v>325</v>
      </c>
      <c r="B4" s="294"/>
      <c r="C4" s="294"/>
      <c r="D4" s="294"/>
      <c r="E4" s="294"/>
      <c r="F4" s="294"/>
      <c r="G4" s="294"/>
      <c r="H4" s="294"/>
      <c r="I4" s="294"/>
      <c r="J4" s="36"/>
    </row>
    <row r="5" spans="1:10">
      <c r="A5" s="294"/>
      <c r="B5" s="294"/>
      <c r="C5" s="294"/>
      <c r="D5" s="294"/>
      <c r="E5" s="294"/>
      <c r="F5" s="294"/>
      <c r="G5" s="294"/>
      <c r="H5" s="294"/>
    </row>
    <row r="6" spans="1:10" ht="18.5">
      <c r="A6" s="381" t="s">
        <v>144</v>
      </c>
      <c r="B6" s="381"/>
      <c r="C6" s="381"/>
      <c r="D6" s="381"/>
      <c r="E6" s="381"/>
      <c r="F6" s="381"/>
      <c r="G6" s="381"/>
      <c r="H6" s="381"/>
    </row>
    <row r="7" spans="1:10">
      <c r="A7" s="94"/>
      <c r="B7" s="37"/>
      <c r="C7" s="38" t="s">
        <v>130</v>
      </c>
      <c r="D7" s="37" t="s">
        <v>131</v>
      </c>
      <c r="E7" s="38" t="s">
        <v>132</v>
      </c>
      <c r="F7" s="37" t="s">
        <v>133</v>
      </c>
      <c r="G7" s="38"/>
      <c r="H7" s="37" t="s">
        <v>134</v>
      </c>
    </row>
    <row r="8" spans="1:10">
      <c r="A8" s="95" t="s">
        <v>135</v>
      </c>
      <c r="B8" s="39" t="s">
        <v>136</v>
      </c>
      <c r="C8" s="41" t="s">
        <v>145</v>
      </c>
      <c r="D8" s="39" t="s">
        <v>137</v>
      </c>
      <c r="E8" s="41" t="s">
        <v>138</v>
      </c>
      <c r="F8" s="39" t="s">
        <v>139</v>
      </c>
      <c r="G8" s="41" t="s">
        <v>140</v>
      </c>
      <c r="H8" s="39" t="s">
        <v>146</v>
      </c>
    </row>
    <row r="9" spans="1:10" ht="15.5">
      <c r="A9" s="96" t="s">
        <v>141</v>
      </c>
      <c r="B9" s="57">
        <v>15</v>
      </c>
      <c r="C9" s="97"/>
      <c r="D9" s="97">
        <v>996495</v>
      </c>
      <c r="E9" s="64" t="s">
        <v>94</v>
      </c>
      <c r="F9" s="97">
        <f>D9</f>
        <v>996495</v>
      </c>
      <c r="G9" s="84">
        <f>F9*15/100</f>
        <v>149474.25</v>
      </c>
      <c r="H9" s="57">
        <f>F9-G9</f>
        <v>847020.75</v>
      </c>
    </row>
    <row r="10" spans="1:10" ht="15.5">
      <c r="A10" s="58" t="s">
        <v>258</v>
      </c>
      <c r="B10" s="59">
        <v>15</v>
      </c>
      <c r="C10" s="98"/>
      <c r="D10" s="98">
        <v>5933500</v>
      </c>
      <c r="E10" s="64" t="s">
        <v>94</v>
      </c>
      <c r="F10" s="98">
        <f>D10</f>
        <v>5933500</v>
      </c>
      <c r="G10" s="58">
        <f>F10*15/100</f>
        <v>890025</v>
      </c>
      <c r="H10" s="59">
        <f>F10-G10</f>
        <v>5043475</v>
      </c>
    </row>
    <row r="11" spans="1:10" ht="16" thickBot="1">
      <c r="A11" s="58" t="s">
        <v>142</v>
      </c>
      <c r="B11" s="59">
        <v>15</v>
      </c>
      <c r="C11" s="99"/>
      <c r="D11" s="99">
        <v>101075</v>
      </c>
      <c r="E11" s="64" t="s">
        <v>94</v>
      </c>
      <c r="F11" s="99">
        <f>D11</f>
        <v>101075</v>
      </c>
      <c r="G11" s="71">
        <f>F11*15/100</f>
        <v>15161.25</v>
      </c>
      <c r="H11" s="59">
        <f>F11-G11</f>
        <v>85913.75</v>
      </c>
    </row>
    <row r="12" spans="1:10" ht="16" thickBot="1">
      <c r="A12" s="79" t="s">
        <v>143</v>
      </c>
      <c r="B12" s="92"/>
      <c r="C12" s="100"/>
      <c r="D12" s="100">
        <f>D9+D10+D11</f>
        <v>7031070</v>
      </c>
      <c r="E12" s="101" t="s">
        <v>94</v>
      </c>
      <c r="F12" s="100">
        <f>F9+F10+F11</f>
        <v>7031070</v>
      </c>
      <c r="G12" s="90">
        <f>ROUND(G9+G10+G11,0)</f>
        <v>1054661</v>
      </c>
      <c r="H12" s="75">
        <f>ROUND(H9+H10+H11,0)</f>
        <v>5976410</v>
      </c>
    </row>
    <row r="14" spans="1:10" ht="18.5">
      <c r="A14" s="380" t="s">
        <v>147</v>
      </c>
      <c r="B14" s="380"/>
      <c r="C14" s="380"/>
      <c r="D14" s="380"/>
      <c r="E14" s="380"/>
      <c r="F14" s="380"/>
      <c r="G14" s="380"/>
      <c r="H14" s="380"/>
    </row>
    <row r="16" spans="1:10">
      <c r="A16" s="94"/>
      <c r="B16" s="37"/>
      <c r="C16" s="38" t="s">
        <v>130</v>
      </c>
      <c r="D16" s="37" t="s">
        <v>131</v>
      </c>
      <c r="E16" s="38" t="s">
        <v>132</v>
      </c>
      <c r="F16" s="37" t="s">
        <v>133</v>
      </c>
      <c r="G16" s="38"/>
      <c r="H16" s="37" t="s">
        <v>134</v>
      </c>
    </row>
    <row r="17" spans="1:9">
      <c r="A17" s="95" t="s">
        <v>135</v>
      </c>
      <c r="B17" s="39" t="s">
        <v>136</v>
      </c>
      <c r="C17" s="41" t="s">
        <v>148</v>
      </c>
      <c r="D17" s="39" t="s">
        <v>137</v>
      </c>
      <c r="E17" s="41" t="s">
        <v>138</v>
      </c>
      <c r="F17" s="39" t="s">
        <v>139</v>
      </c>
      <c r="G17" s="41" t="s">
        <v>140</v>
      </c>
      <c r="H17" s="39" t="s">
        <v>149</v>
      </c>
    </row>
    <row r="18" spans="1:9" ht="15.5">
      <c r="A18" s="96" t="s">
        <v>141</v>
      </c>
      <c r="B18" s="57">
        <v>15</v>
      </c>
      <c r="C18" s="57">
        <f>H9</f>
        <v>847020.75</v>
      </c>
      <c r="D18" s="97">
        <v>0</v>
      </c>
      <c r="E18" s="102">
        <v>0</v>
      </c>
      <c r="F18" s="57">
        <f>C18+D18-E18</f>
        <v>847020.75</v>
      </c>
      <c r="G18" s="84">
        <f>F18*15/100</f>
        <v>127053.1125</v>
      </c>
      <c r="H18" s="57">
        <f>F18-G18</f>
        <v>719967.63749999995</v>
      </c>
    </row>
    <row r="19" spans="1:9" ht="15.5">
      <c r="A19" s="58" t="s">
        <v>258</v>
      </c>
      <c r="B19" s="59">
        <v>15</v>
      </c>
      <c r="C19" s="59">
        <f>H10</f>
        <v>5043475</v>
      </c>
      <c r="D19" s="98">
        <v>0</v>
      </c>
      <c r="E19" s="103">
        <v>0</v>
      </c>
      <c r="F19" s="57">
        <f>C19+D19-E19</f>
        <v>5043475</v>
      </c>
      <c r="G19" s="59">
        <f>F19*15/100</f>
        <v>756521.25</v>
      </c>
      <c r="H19" s="59">
        <f>F19-G19</f>
        <v>4286953.75</v>
      </c>
    </row>
    <row r="20" spans="1:9" ht="16" thickBot="1">
      <c r="A20" s="58" t="s">
        <v>142</v>
      </c>
      <c r="B20" s="59">
        <v>15</v>
      </c>
      <c r="C20" s="59">
        <f>H11</f>
        <v>85913.75</v>
      </c>
      <c r="D20" s="98">
        <v>0</v>
      </c>
      <c r="E20" s="103">
        <v>0</v>
      </c>
      <c r="F20" s="57">
        <f>C20+D20-E20</f>
        <v>85913.75</v>
      </c>
      <c r="G20" s="72">
        <f>F20*15/100</f>
        <v>12887.0625</v>
      </c>
      <c r="H20" s="59">
        <f>F20-G20</f>
        <v>73026.6875</v>
      </c>
    </row>
    <row r="21" spans="1:9" ht="16" thickBot="1">
      <c r="A21" s="79" t="s">
        <v>143</v>
      </c>
      <c r="B21" s="92"/>
      <c r="C21" s="88">
        <f>H12</f>
        <v>5976410</v>
      </c>
      <c r="D21" s="104">
        <f>D18+D19+D20</f>
        <v>0</v>
      </c>
      <c r="E21" s="105">
        <v>0</v>
      </c>
      <c r="F21" s="88">
        <f>C21+D21</f>
        <v>5976410</v>
      </c>
      <c r="G21" s="90">
        <f>ROUND(G18+G19+G20,0)</f>
        <v>896461</v>
      </c>
      <c r="H21" s="75">
        <f>ROUND(H18+H19+H20,0)</f>
        <v>5079948</v>
      </c>
    </row>
    <row r="23" spans="1:9" ht="18.5">
      <c r="A23" s="380" t="s">
        <v>150</v>
      </c>
      <c r="B23" s="380"/>
      <c r="C23" s="380"/>
      <c r="D23" s="380"/>
      <c r="E23" s="380"/>
      <c r="F23" s="380"/>
      <c r="G23" s="380"/>
      <c r="H23" s="380"/>
    </row>
    <row r="25" spans="1:9">
      <c r="A25" s="94"/>
      <c r="B25" s="37"/>
      <c r="C25" s="38" t="s">
        <v>130</v>
      </c>
      <c r="D25" s="37" t="s">
        <v>131</v>
      </c>
      <c r="E25" s="38" t="s">
        <v>132</v>
      </c>
      <c r="F25" s="37" t="s">
        <v>133</v>
      </c>
      <c r="G25" s="38"/>
      <c r="H25" s="37" t="s">
        <v>134</v>
      </c>
    </row>
    <row r="26" spans="1:9">
      <c r="A26" s="95" t="s">
        <v>135</v>
      </c>
      <c r="B26" s="39" t="s">
        <v>136</v>
      </c>
      <c r="C26" s="41" t="s">
        <v>151</v>
      </c>
      <c r="D26" s="39" t="s">
        <v>137</v>
      </c>
      <c r="E26" s="41" t="s">
        <v>138</v>
      </c>
      <c r="F26" s="39" t="s">
        <v>139</v>
      </c>
      <c r="G26" s="41" t="s">
        <v>140</v>
      </c>
      <c r="H26" s="39" t="s">
        <v>152</v>
      </c>
    </row>
    <row r="27" spans="1:9" ht="15.5">
      <c r="A27" s="96" t="s">
        <v>141</v>
      </c>
      <c r="B27" s="57">
        <v>15</v>
      </c>
      <c r="C27" s="57">
        <f>H18</f>
        <v>719967.63749999995</v>
      </c>
      <c r="D27" s="97">
        <v>0</v>
      </c>
      <c r="E27" s="102">
        <v>0</v>
      </c>
      <c r="F27" s="57">
        <f>C27+D27-E27</f>
        <v>719967.63749999995</v>
      </c>
      <c r="G27" s="84">
        <f>F27*15/100</f>
        <v>107995.145625</v>
      </c>
      <c r="H27" s="57">
        <f>F27-G27</f>
        <v>611972.49187499995</v>
      </c>
    </row>
    <row r="28" spans="1:9" ht="15.5">
      <c r="A28" s="58" t="s">
        <v>258</v>
      </c>
      <c r="B28" s="59">
        <v>15</v>
      </c>
      <c r="C28" s="59">
        <f>H19</f>
        <v>4286953.75</v>
      </c>
      <c r="D28" s="98">
        <v>0</v>
      </c>
      <c r="E28" s="103">
        <v>0</v>
      </c>
      <c r="F28" s="57">
        <f>C28+D28-E28</f>
        <v>4286953.75</v>
      </c>
      <c r="G28" s="59">
        <f>F28*15/100</f>
        <v>643043.0625</v>
      </c>
      <c r="H28" s="59">
        <f>F28-G28</f>
        <v>3643910.6875</v>
      </c>
    </row>
    <row r="29" spans="1:9" ht="16" thickBot="1">
      <c r="A29" s="58" t="s">
        <v>142</v>
      </c>
      <c r="B29" s="59">
        <v>15</v>
      </c>
      <c r="C29" s="59">
        <f>H20</f>
        <v>73026.6875</v>
      </c>
      <c r="D29" s="98">
        <v>0</v>
      </c>
      <c r="E29" s="103">
        <v>0</v>
      </c>
      <c r="F29" s="57">
        <f>C29+D29-E29</f>
        <v>73026.6875</v>
      </c>
      <c r="G29" s="72">
        <f>F29*15/100</f>
        <v>10954.003124999999</v>
      </c>
      <c r="H29" s="59">
        <f>F29-G29</f>
        <v>62072.684374999997</v>
      </c>
    </row>
    <row r="30" spans="1:9" ht="16" thickBot="1">
      <c r="A30" s="79" t="s">
        <v>143</v>
      </c>
      <c r="B30" s="92"/>
      <c r="C30" s="88">
        <f>H21</f>
        <v>5079948</v>
      </c>
      <c r="D30" s="104">
        <v>0</v>
      </c>
      <c r="E30" s="105">
        <v>0</v>
      </c>
      <c r="F30" s="88">
        <f>C30</f>
        <v>5079948</v>
      </c>
      <c r="G30" s="90">
        <f>ROUND(G27+G28+G29,0)</f>
        <v>761992</v>
      </c>
      <c r="H30" s="75">
        <f>ROUND(H27+H28+H29,0)</f>
        <v>4317956</v>
      </c>
    </row>
    <row r="32" spans="1:9" ht="18.5">
      <c r="A32" s="293" t="s">
        <v>302</v>
      </c>
      <c r="B32" s="293"/>
      <c r="C32" s="293"/>
      <c r="D32" s="293"/>
      <c r="E32" s="293"/>
      <c r="F32" s="293"/>
      <c r="G32" s="293"/>
      <c r="H32" s="293"/>
      <c r="I32" s="293"/>
    </row>
    <row r="33" spans="1:9">
      <c r="A33" s="294"/>
      <c r="B33" s="294"/>
      <c r="C33" s="294"/>
      <c r="D33" s="294"/>
      <c r="E33" s="294"/>
      <c r="F33" s="294"/>
      <c r="G33" s="294"/>
      <c r="H33" s="294"/>
      <c r="I33" s="294"/>
    </row>
    <row r="34" spans="1:9">
      <c r="A34" s="374" t="s">
        <v>307</v>
      </c>
      <c r="B34" s="374"/>
      <c r="C34" s="374"/>
      <c r="D34" s="374"/>
      <c r="E34" s="374"/>
      <c r="F34" s="374"/>
      <c r="G34" s="374"/>
      <c r="H34" s="374"/>
      <c r="I34" s="374"/>
    </row>
    <row r="35" spans="1:9">
      <c r="A35" s="362" t="s">
        <v>325</v>
      </c>
      <c r="B35" s="294"/>
      <c r="C35" s="294"/>
      <c r="D35" s="294"/>
      <c r="E35" s="294"/>
      <c r="F35" s="294"/>
      <c r="G35" s="294"/>
      <c r="H35" s="294"/>
      <c r="I35" s="294"/>
    </row>
    <row r="37" spans="1:9" ht="18.5">
      <c r="A37" s="380" t="s">
        <v>153</v>
      </c>
      <c r="B37" s="380"/>
      <c r="C37" s="380"/>
      <c r="D37" s="380"/>
      <c r="E37" s="380"/>
      <c r="F37" s="380"/>
      <c r="G37" s="380"/>
      <c r="H37" s="380"/>
    </row>
    <row r="39" spans="1:9">
      <c r="A39" s="94"/>
      <c r="B39" s="37"/>
      <c r="C39" s="38" t="s">
        <v>130</v>
      </c>
      <c r="D39" s="37" t="s">
        <v>131</v>
      </c>
      <c r="E39" s="38" t="s">
        <v>132</v>
      </c>
      <c r="F39" s="37" t="s">
        <v>133</v>
      </c>
      <c r="G39" s="38"/>
      <c r="H39" s="37" t="s">
        <v>134</v>
      </c>
    </row>
    <row r="40" spans="1:9">
      <c r="A40" s="95" t="s">
        <v>135</v>
      </c>
      <c r="B40" s="39" t="s">
        <v>136</v>
      </c>
      <c r="C40" s="41" t="s">
        <v>154</v>
      </c>
      <c r="D40" s="39" t="s">
        <v>137</v>
      </c>
      <c r="E40" s="41" t="s">
        <v>138</v>
      </c>
      <c r="F40" s="39" t="s">
        <v>139</v>
      </c>
      <c r="G40" s="41" t="s">
        <v>140</v>
      </c>
      <c r="H40" s="39" t="s">
        <v>155</v>
      </c>
    </row>
    <row r="41" spans="1:9" ht="15.5">
      <c r="A41" s="96" t="s">
        <v>141</v>
      </c>
      <c r="B41" s="57">
        <v>15</v>
      </c>
      <c r="C41" s="57">
        <f>H27</f>
        <v>611972.49187499995</v>
      </c>
      <c r="D41" s="97">
        <v>0</v>
      </c>
      <c r="E41" s="102">
        <v>0</v>
      </c>
      <c r="F41" s="57">
        <f>C41+D41-E41</f>
        <v>611972.49187499995</v>
      </c>
      <c r="G41" s="57">
        <f>F41*15/100</f>
        <v>91795.873781249989</v>
      </c>
      <c r="H41" s="57">
        <f>F41-G41</f>
        <v>520176.61809374997</v>
      </c>
    </row>
    <row r="42" spans="1:9" ht="15.5">
      <c r="A42" s="58" t="s">
        <v>258</v>
      </c>
      <c r="B42" s="59">
        <v>15</v>
      </c>
      <c r="C42" s="59">
        <f>H28</f>
        <v>3643910.6875</v>
      </c>
      <c r="D42" s="98">
        <v>0</v>
      </c>
      <c r="E42" s="103">
        <v>0</v>
      </c>
      <c r="F42" s="57">
        <f>C42+D42-E42</f>
        <v>3643910.6875</v>
      </c>
      <c r="G42" s="59">
        <f>F42*15/100</f>
        <v>546586.60312500002</v>
      </c>
      <c r="H42" s="59">
        <f>F42-G42</f>
        <v>3097324.0843750001</v>
      </c>
    </row>
    <row r="43" spans="1:9" ht="16" thickBot="1">
      <c r="A43" s="58" t="s">
        <v>142</v>
      </c>
      <c r="B43" s="59">
        <v>15</v>
      </c>
      <c r="C43" s="59">
        <f>H29</f>
        <v>62072.684374999997</v>
      </c>
      <c r="D43" s="98">
        <v>0</v>
      </c>
      <c r="E43" s="103">
        <v>0</v>
      </c>
      <c r="F43" s="57">
        <f>C43+D43-E43</f>
        <v>62072.684374999997</v>
      </c>
      <c r="G43">
        <f>F43*15/100</f>
        <v>9310.9026562500003</v>
      </c>
      <c r="H43" s="59">
        <f>F43-G43</f>
        <v>52761.781718749997</v>
      </c>
    </row>
    <row r="44" spans="1:9" ht="16" thickBot="1">
      <c r="A44" s="79" t="s">
        <v>143</v>
      </c>
      <c r="B44" s="92"/>
      <c r="C44" s="75">
        <f>H30</f>
        <v>4317956</v>
      </c>
      <c r="D44" s="104">
        <v>0</v>
      </c>
      <c r="E44" s="105">
        <v>0</v>
      </c>
      <c r="F44" s="75">
        <f>C44</f>
        <v>4317956</v>
      </c>
      <c r="G44" s="90">
        <f>ROUND(G41+G42+G43,0)</f>
        <v>647693</v>
      </c>
      <c r="H44" s="75">
        <f>ROUND(H41+H42+H43,0)</f>
        <v>3670262</v>
      </c>
    </row>
    <row r="47" spans="1:9" ht="18.5">
      <c r="A47" s="380" t="s">
        <v>157</v>
      </c>
      <c r="B47" s="380"/>
      <c r="C47" s="380"/>
      <c r="D47" s="380"/>
      <c r="E47" s="380"/>
      <c r="F47" s="380"/>
      <c r="G47" s="380"/>
      <c r="H47" s="380"/>
    </row>
    <row r="49" spans="1:9">
      <c r="A49" s="94"/>
      <c r="B49" s="37"/>
      <c r="C49" s="38" t="s">
        <v>130</v>
      </c>
      <c r="D49" s="37" t="s">
        <v>131</v>
      </c>
      <c r="E49" s="38" t="s">
        <v>132</v>
      </c>
      <c r="F49" s="37" t="s">
        <v>133</v>
      </c>
      <c r="G49" s="38"/>
      <c r="H49" s="37" t="s">
        <v>134</v>
      </c>
    </row>
    <row r="50" spans="1:9">
      <c r="A50" s="95" t="s">
        <v>135</v>
      </c>
      <c r="B50" s="39" t="s">
        <v>136</v>
      </c>
      <c r="C50" s="41" t="s">
        <v>158</v>
      </c>
      <c r="D50" s="39" t="s">
        <v>137</v>
      </c>
      <c r="E50" s="41" t="s">
        <v>138</v>
      </c>
      <c r="F50" s="39" t="s">
        <v>139</v>
      </c>
      <c r="G50" s="41" t="s">
        <v>140</v>
      </c>
      <c r="H50" s="39" t="s">
        <v>159</v>
      </c>
    </row>
    <row r="51" spans="1:9" ht="15.5">
      <c r="A51" s="96" t="s">
        <v>141</v>
      </c>
      <c r="B51" s="57">
        <v>15</v>
      </c>
      <c r="C51" s="57">
        <f>H41</f>
        <v>520176.61809374997</v>
      </c>
      <c r="D51" s="97">
        <v>0</v>
      </c>
      <c r="E51" s="102">
        <v>0</v>
      </c>
      <c r="F51" s="57">
        <f>C51+D51-E51</f>
        <v>520176.61809374997</v>
      </c>
      <c r="G51" s="57">
        <f>F51*15/100</f>
        <v>78026.492714062508</v>
      </c>
      <c r="H51" s="57">
        <f>F51-G51</f>
        <v>442150.12537968747</v>
      </c>
    </row>
    <row r="52" spans="1:9" ht="15.5">
      <c r="A52" s="58" t="s">
        <v>258</v>
      </c>
      <c r="B52" s="59">
        <v>15</v>
      </c>
      <c r="C52" s="59">
        <f>H42</f>
        <v>3097324.0843750001</v>
      </c>
      <c r="D52" s="98">
        <v>0</v>
      </c>
      <c r="E52" s="103">
        <v>0</v>
      </c>
      <c r="F52" s="57">
        <f>C52+D52-E52</f>
        <v>3097324.0843750001</v>
      </c>
      <c r="G52" s="59">
        <f>F52*15/100</f>
        <v>464598.61265625001</v>
      </c>
      <c r="H52" s="59">
        <f>F52-G52</f>
        <v>2632725.47171875</v>
      </c>
    </row>
    <row r="53" spans="1:9" ht="16" thickBot="1">
      <c r="A53" s="58" t="s">
        <v>142</v>
      </c>
      <c r="B53" s="59">
        <v>15</v>
      </c>
      <c r="C53" s="59">
        <f>H43</f>
        <v>52761.781718749997</v>
      </c>
      <c r="D53" s="98">
        <v>0</v>
      </c>
      <c r="E53" s="103">
        <v>0</v>
      </c>
      <c r="F53" s="57">
        <f>C53+D53-E53</f>
        <v>52761.781718749997</v>
      </c>
      <c r="G53">
        <f>F53*15/100</f>
        <v>7914.2672578124993</v>
      </c>
      <c r="H53" s="59">
        <f>F53-G53</f>
        <v>44847.514460937498</v>
      </c>
    </row>
    <row r="54" spans="1:9" ht="16" thickBot="1">
      <c r="A54" s="79" t="s">
        <v>143</v>
      </c>
      <c r="B54" s="92"/>
      <c r="C54" s="75">
        <f>H44</f>
        <v>3670262</v>
      </c>
      <c r="D54" s="104">
        <v>0</v>
      </c>
      <c r="E54" s="105">
        <v>0</v>
      </c>
      <c r="F54" s="75">
        <f>C54</f>
        <v>3670262</v>
      </c>
      <c r="G54" s="90">
        <f>ROUND(G51+G52+G53,0)</f>
        <v>550539</v>
      </c>
      <c r="H54" s="75">
        <f>ROUND(H51+H52+H53,0)</f>
        <v>3119723</v>
      </c>
    </row>
    <row r="57" spans="1:9" ht="15.5">
      <c r="A57" s="35" t="s">
        <v>305</v>
      </c>
    </row>
    <row r="60" spans="1:9">
      <c r="H60" s="277" t="s">
        <v>195</v>
      </c>
    </row>
    <row r="64" spans="1:9" ht="18.5">
      <c r="A64" s="293" t="s">
        <v>302</v>
      </c>
      <c r="B64" s="293"/>
      <c r="C64" s="293"/>
      <c r="D64" s="293"/>
      <c r="E64" s="293"/>
      <c r="F64" s="293"/>
      <c r="G64" s="293"/>
      <c r="H64" s="293"/>
      <c r="I64" s="293"/>
    </row>
    <row r="65" spans="1:9">
      <c r="A65" s="294"/>
      <c r="B65" s="294"/>
      <c r="C65" s="294"/>
      <c r="D65" s="294"/>
      <c r="E65" s="294"/>
      <c r="F65" s="294"/>
      <c r="G65" s="294"/>
      <c r="H65" s="294"/>
      <c r="I65" s="294"/>
    </row>
    <row r="66" spans="1:9">
      <c r="A66" s="374" t="s">
        <v>307</v>
      </c>
      <c r="B66" s="374"/>
      <c r="C66" s="374"/>
      <c r="D66" s="374"/>
      <c r="E66" s="374"/>
      <c r="F66" s="374"/>
      <c r="G66" s="374"/>
      <c r="H66" s="374"/>
      <c r="I66" s="374"/>
    </row>
    <row r="67" spans="1:9">
      <c r="A67" s="362" t="s">
        <v>325</v>
      </c>
      <c r="B67" s="294"/>
      <c r="C67" s="294"/>
      <c r="D67" s="294"/>
      <c r="E67" s="294"/>
      <c r="F67" s="294"/>
      <c r="G67" s="294"/>
      <c r="H67" s="294"/>
      <c r="I67" s="294"/>
    </row>
    <row r="69" spans="1:9" ht="18.5">
      <c r="A69" s="380" t="s">
        <v>160</v>
      </c>
      <c r="B69" s="380"/>
      <c r="C69" s="380"/>
      <c r="D69" s="380"/>
      <c r="E69" s="380"/>
      <c r="F69" s="380"/>
      <c r="G69" s="380"/>
      <c r="H69" s="380"/>
    </row>
    <row r="71" spans="1:9">
      <c r="A71" s="94"/>
      <c r="B71" s="37"/>
      <c r="C71" s="38" t="s">
        <v>130</v>
      </c>
      <c r="D71" s="37" t="s">
        <v>131</v>
      </c>
      <c r="E71" s="38" t="s">
        <v>132</v>
      </c>
      <c r="F71" s="37" t="s">
        <v>133</v>
      </c>
      <c r="G71" s="38"/>
      <c r="H71" s="37" t="s">
        <v>134</v>
      </c>
    </row>
    <row r="72" spans="1:9">
      <c r="A72" s="95" t="s">
        <v>135</v>
      </c>
      <c r="B72" s="39" t="s">
        <v>136</v>
      </c>
      <c r="C72" s="41" t="s">
        <v>161</v>
      </c>
      <c r="D72" s="39" t="s">
        <v>137</v>
      </c>
      <c r="E72" s="41" t="s">
        <v>138</v>
      </c>
      <c r="F72" s="39" t="s">
        <v>139</v>
      </c>
      <c r="G72" s="41" t="s">
        <v>140</v>
      </c>
      <c r="H72" s="39" t="s">
        <v>162</v>
      </c>
    </row>
    <row r="73" spans="1:9" ht="15.5">
      <c r="A73" s="96" t="s">
        <v>141</v>
      </c>
      <c r="B73" s="57">
        <v>15</v>
      </c>
      <c r="C73" s="57">
        <f>H51</f>
        <v>442150.12537968747</v>
      </c>
      <c r="D73" s="97">
        <v>0</v>
      </c>
      <c r="E73" s="102">
        <v>0</v>
      </c>
      <c r="F73" s="57">
        <f>C73+D73-E73</f>
        <v>442150.12537968747</v>
      </c>
      <c r="G73" s="57">
        <f>F73*15/100</f>
        <v>66322.518806953129</v>
      </c>
      <c r="H73" s="57">
        <f>F73-G73</f>
        <v>375827.60657273431</v>
      </c>
    </row>
    <row r="74" spans="1:9" ht="15.5">
      <c r="A74" s="58" t="s">
        <v>258</v>
      </c>
      <c r="B74" s="59">
        <v>15</v>
      </c>
      <c r="C74" s="59">
        <f>H52</f>
        <v>2632725.47171875</v>
      </c>
      <c r="D74" s="98">
        <v>0</v>
      </c>
      <c r="E74" s="103">
        <v>0</v>
      </c>
      <c r="F74" s="57">
        <f>C74+D74-E74</f>
        <v>2632725.47171875</v>
      </c>
      <c r="G74" s="59">
        <f>F74*15/100</f>
        <v>394908.82075781247</v>
      </c>
      <c r="H74" s="59">
        <f>F74-G74</f>
        <v>2237816.6509609376</v>
      </c>
    </row>
    <row r="75" spans="1:9" ht="16" thickBot="1">
      <c r="A75" s="58" t="s">
        <v>142</v>
      </c>
      <c r="B75" s="59">
        <v>15</v>
      </c>
      <c r="C75" s="59">
        <f>H53</f>
        <v>44847.514460937498</v>
      </c>
      <c r="D75" s="98">
        <v>0</v>
      </c>
      <c r="E75" s="103">
        <v>0</v>
      </c>
      <c r="F75" s="57">
        <f>C75+D75-E75</f>
        <v>44847.514460937498</v>
      </c>
      <c r="G75">
        <f>F75*15/100</f>
        <v>6727.1271691406255</v>
      </c>
      <c r="H75" s="59">
        <f>F75-G75</f>
        <v>38120.387291796869</v>
      </c>
    </row>
    <row r="76" spans="1:9" ht="16" thickBot="1">
      <c r="A76" s="79" t="s">
        <v>143</v>
      </c>
      <c r="B76" s="92"/>
      <c r="C76" s="75">
        <f>H54</f>
        <v>3119723</v>
      </c>
      <c r="D76" s="104">
        <v>0</v>
      </c>
      <c r="E76" s="105">
        <v>0</v>
      </c>
      <c r="F76" s="75">
        <f>C76</f>
        <v>3119723</v>
      </c>
      <c r="G76" s="90">
        <f>ROUND(G73+G74+G75,0)</f>
        <v>467958</v>
      </c>
      <c r="H76" s="75">
        <f>ROUND(H73+H74+H75,0)</f>
        <v>2651765</v>
      </c>
    </row>
    <row r="79" spans="1:9" ht="18.5">
      <c r="A79" s="380" t="s">
        <v>260</v>
      </c>
      <c r="B79" s="380"/>
      <c r="C79" s="380"/>
      <c r="D79" s="380"/>
      <c r="E79" s="380"/>
      <c r="F79" s="380"/>
      <c r="G79" s="380"/>
      <c r="H79" s="380"/>
    </row>
    <row r="81" spans="1:8">
      <c r="A81" s="94"/>
      <c r="B81" s="37"/>
      <c r="C81" s="38" t="s">
        <v>130</v>
      </c>
      <c r="D81" s="37" t="s">
        <v>131</v>
      </c>
      <c r="E81" s="38" t="s">
        <v>132</v>
      </c>
      <c r="F81" s="37" t="s">
        <v>133</v>
      </c>
      <c r="G81" s="38"/>
      <c r="H81" s="37" t="s">
        <v>134</v>
      </c>
    </row>
    <row r="82" spans="1:8">
      <c r="A82" s="95" t="s">
        <v>135</v>
      </c>
      <c r="B82" s="39" t="s">
        <v>136</v>
      </c>
      <c r="C82" s="41" t="s">
        <v>261</v>
      </c>
      <c r="D82" s="39" t="s">
        <v>137</v>
      </c>
      <c r="E82" s="41" t="s">
        <v>138</v>
      </c>
      <c r="F82" s="39" t="s">
        <v>139</v>
      </c>
      <c r="G82" s="41" t="s">
        <v>140</v>
      </c>
      <c r="H82" s="39" t="s">
        <v>262</v>
      </c>
    </row>
    <row r="83" spans="1:8" ht="15.5">
      <c r="A83" s="96" t="s">
        <v>141</v>
      </c>
      <c r="B83" s="57">
        <v>15</v>
      </c>
      <c r="C83" s="57">
        <f>H73</f>
        <v>375827.60657273431</v>
      </c>
      <c r="D83" s="97"/>
      <c r="E83" s="102">
        <v>0</v>
      </c>
      <c r="F83" s="57">
        <f>C83+D83-E83</f>
        <v>375827.60657273431</v>
      </c>
      <c r="G83" s="57">
        <f>F83*15/100</f>
        <v>56374.140985910148</v>
      </c>
      <c r="H83" s="57">
        <f>F83-G83</f>
        <v>319453.46558682417</v>
      </c>
    </row>
    <row r="84" spans="1:8" ht="15.5">
      <c r="A84" s="58" t="s">
        <v>258</v>
      </c>
      <c r="B84" s="59">
        <v>15</v>
      </c>
      <c r="C84" s="59">
        <f>H74</f>
        <v>2237816.6509609376</v>
      </c>
      <c r="D84" s="98"/>
      <c r="E84" s="103">
        <v>0</v>
      </c>
      <c r="F84" s="57">
        <f>C84+D84-E84</f>
        <v>2237816.6509609376</v>
      </c>
      <c r="G84" s="59">
        <f>F84*15/100</f>
        <v>335672.49764414062</v>
      </c>
      <c r="H84" s="59">
        <f>F84-G84</f>
        <v>1902144.153316797</v>
      </c>
    </row>
    <row r="85" spans="1:8" ht="16" thickBot="1">
      <c r="A85" s="58" t="s">
        <v>142</v>
      </c>
      <c r="B85" s="59">
        <v>15</v>
      </c>
      <c r="C85" s="59">
        <f>H75</f>
        <v>38120.387291796869</v>
      </c>
      <c r="D85" s="98"/>
      <c r="E85" s="103">
        <v>0</v>
      </c>
      <c r="F85" s="57">
        <f>C85+D85-E85</f>
        <v>38120.387291796869</v>
      </c>
      <c r="G85">
        <f>F85*15/100</f>
        <v>5718.0580937695304</v>
      </c>
      <c r="H85" s="59">
        <f>F85-G85</f>
        <v>32402.329198027339</v>
      </c>
    </row>
    <row r="86" spans="1:8" ht="16" thickBot="1">
      <c r="A86" s="79" t="s">
        <v>143</v>
      </c>
      <c r="B86" s="92"/>
      <c r="C86" s="75">
        <f>H76</f>
        <v>2651765</v>
      </c>
      <c r="D86" s="104"/>
      <c r="E86" s="105">
        <v>0</v>
      </c>
      <c r="F86" s="75">
        <f>C86</f>
        <v>2651765</v>
      </c>
      <c r="G86" s="90">
        <f>ROUND(G83+G84+G85,0)</f>
        <v>397765</v>
      </c>
      <c r="H86" s="75">
        <f>ROUND(H83+H84+H85,0)</f>
        <v>2254000</v>
      </c>
    </row>
    <row r="89" spans="1:8" ht="15.5">
      <c r="A89" s="35" t="s">
        <v>305</v>
      </c>
    </row>
    <row r="91" spans="1:8">
      <c r="H91" s="277" t="s">
        <v>208</v>
      </c>
    </row>
  </sheetData>
  <mergeCells count="19">
    <mergeCell ref="A66:I66"/>
    <mergeCell ref="A67:I67"/>
    <mergeCell ref="A69:H69"/>
    <mergeCell ref="A79:H79"/>
    <mergeCell ref="A35:I35"/>
    <mergeCell ref="A37:H37"/>
    <mergeCell ref="A47:H47"/>
    <mergeCell ref="A64:I64"/>
    <mergeCell ref="A65:I65"/>
    <mergeCell ref="A14:H14"/>
    <mergeCell ref="A23:H23"/>
    <mergeCell ref="A32:I32"/>
    <mergeCell ref="A33:I33"/>
    <mergeCell ref="A34:I34"/>
    <mergeCell ref="A2:H2"/>
    <mergeCell ref="A3:I3"/>
    <mergeCell ref="A4:I4"/>
    <mergeCell ref="A5:H5"/>
    <mergeCell ref="A6:H6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42"/>
  <sheetViews>
    <sheetView workbookViewId="0">
      <selection activeCell="C37" sqref="C37"/>
    </sheetView>
  </sheetViews>
  <sheetFormatPr defaultColWidth="9" defaultRowHeight="14.5"/>
  <cols>
    <col min="2" max="2" width="11.453125" customWidth="1"/>
    <col min="3" max="3" width="12.81640625" customWidth="1"/>
    <col min="4" max="4" width="12.453125" customWidth="1"/>
    <col min="5" max="8" width="11" customWidth="1"/>
    <col min="9" max="9" width="10.26953125" customWidth="1"/>
  </cols>
  <sheetData>
    <row r="2" spans="1:9" ht="18.5">
      <c r="A2" s="382" t="s">
        <v>302</v>
      </c>
      <c r="B2" s="293"/>
      <c r="C2" s="293"/>
      <c r="D2" s="293"/>
      <c r="E2" s="293"/>
      <c r="F2" s="293"/>
      <c r="G2" s="293"/>
      <c r="H2" s="293"/>
      <c r="I2" s="293"/>
    </row>
    <row r="3" spans="1:9">
      <c r="A3" s="424" t="s">
        <v>323</v>
      </c>
      <c r="B3" s="383"/>
      <c r="C3" s="383"/>
      <c r="D3" s="383"/>
      <c r="E3" s="383"/>
      <c r="F3" s="383"/>
      <c r="G3" s="383"/>
      <c r="H3" s="383"/>
      <c r="I3" s="383"/>
    </row>
    <row r="4" spans="1:9">
      <c r="A4" s="362" t="s">
        <v>325</v>
      </c>
      <c r="B4" s="294"/>
      <c r="C4" s="294"/>
      <c r="D4" s="294"/>
      <c r="E4" s="294"/>
      <c r="F4" s="294"/>
      <c r="G4" s="294"/>
      <c r="H4" s="294"/>
      <c r="I4" s="294"/>
    </row>
    <row r="5" spans="1:9" ht="15" customHeight="1">
      <c r="A5" s="309" t="s">
        <v>164</v>
      </c>
      <c r="B5" s="309"/>
      <c r="C5" s="309"/>
      <c r="D5" s="309"/>
      <c r="E5" s="309"/>
      <c r="F5" s="309"/>
      <c r="G5" s="309"/>
      <c r="H5" s="309"/>
      <c r="I5" s="309"/>
    </row>
    <row r="6" spans="1:9">
      <c r="A6" s="312"/>
      <c r="B6" s="312"/>
      <c r="C6" s="312"/>
      <c r="D6" s="312"/>
      <c r="E6" s="312"/>
      <c r="F6" s="312"/>
      <c r="G6" s="312"/>
      <c r="H6" s="312"/>
    </row>
    <row r="7" spans="1:9">
      <c r="A7" s="368" t="s">
        <v>73</v>
      </c>
      <c r="B7" s="377"/>
      <c r="C7" s="51" t="s">
        <v>74</v>
      </c>
      <c r="D7" s="51" t="s">
        <v>74</v>
      </c>
      <c r="E7" s="51" t="s">
        <v>74</v>
      </c>
      <c r="F7" s="51" t="s">
        <v>74</v>
      </c>
      <c r="G7" s="52" t="s">
        <v>74</v>
      </c>
      <c r="H7" s="51" t="s">
        <v>74</v>
      </c>
      <c r="I7" s="51" t="s">
        <v>74</v>
      </c>
    </row>
    <row r="8" spans="1:9">
      <c r="A8" s="370"/>
      <c r="B8" s="378"/>
      <c r="C8" s="53" t="s">
        <v>75</v>
      </c>
      <c r="D8" s="53" t="s">
        <v>75</v>
      </c>
      <c r="E8" s="1" t="s">
        <v>75</v>
      </c>
      <c r="F8" s="53" t="s">
        <v>75</v>
      </c>
      <c r="G8" s="1" t="s">
        <v>75</v>
      </c>
      <c r="H8" s="54" t="s">
        <v>75</v>
      </c>
      <c r="I8" s="54" t="s">
        <v>75</v>
      </c>
    </row>
    <row r="9" spans="1:9">
      <c r="A9" s="372"/>
      <c r="B9" s="379"/>
      <c r="C9" s="55">
        <v>2027</v>
      </c>
      <c r="D9" s="55">
        <f>1+C9</f>
        <v>2028</v>
      </c>
      <c r="E9" s="55">
        <f t="shared" ref="E9:I9" si="0">1+D9</f>
        <v>2029</v>
      </c>
      <c r="F9" s="55">
        <f t="shared" si="0"/>
        <v>2030</v>
      </c>
      <c r="G9" s="55">
        <f t="shared" si="0"/>
        <v>2031</v>
      </c>
      <c r="H9" s="55">
        <f t="shared" si="0"/>
        <v>2032</v>
      </c>
      <c r="I9" s="55">
        <f t="shared" si="0"/>
        <v>2033</v>
      </c>
    </row>
    <row r="10" spans="1:9">
      <c r="A10" s="83" t="s">
        <v>165</v>
      </c>
      <c r="B10" s="84"/>
      <c r="C10" s="57">
        <f>pnl!C32</f>
        <v>771859.00000000373</v>
      </c>
      <c r="D10" s="85">
        <f>pnl!D32</f>
        <v>724564.00000000373</v>
      </c>
      <c r="E10">
        <f>pnl!E32</f>
        <v>997572.00000000373</v>
      </c>
      <c r="F10" s="59">
        <f>pnl!F32</f>
        <v>994440</v>
      </c>
      <c r="G10">
        <f>pnl!G32</f>
        <v>1215019</v>
      </c>
      <c r="H10" s="57">
        <f>pnl!H32</f>
        <v>1267454</v>
      </c>
      <c r="I10" s="57">
        <f>pnl!I32</f>
        <v>1333829</v>
      </c>
    </row>
    <row r="11" spans="1:9">
      <c r="A11" s="65" t="s">
        <v>140</v>
      </c>
      <c r="C11" s="59">
        <f>bs!C26</f>
        <v>1054661</v>
      </c>
      <c r="D11" s="86">
        <f>bs!D26</f>
        <v>896461</v>
      </c>
      <c r="E11" s="86">
        <f>bs!E26</f>
        <v>761992</v>
      </c>
      <c r="F11" s="86">
        <f>bs!F26</f>
        <v>647693</v>
      </c>
      <c r="G11" s="86">
        <f>bs!G26</f>
        <v>550539</v>
      </c>
      <c r="H11" s="86">
        <f>bs!H26</f>
        <v>467958</v>
      </c>
      <c r="I11" s="86">
        <f>bs!I26</f>
        <v>397765</v>
      </c>
    </row>
    <row r="12" spans="1:9">
      <c r="A12" s="65" t="s">
        <v>166</v>
      </c>
      <c r="C12" s="59">
        <f>pnl!C20</f>
        <v>400500</v>
      </c>
      <c r="D12" s="86">
        <f>pnl!D20</f>
        <v>375777</v>
      </c>
      <c r="E12">
        <f>pnl!E20</f>
        <v>316443</v>
      </c>
      <c r="F12" s="59">
        <f>pnl!F20</f>
        <v>257109</v>
      </c>
      <c r="G12">
        <f>pnl!G20</f>
        <v>197775</v>
      </c>
      <c r="H12" s="59">
        <f>pnl!H20</f>
        <v>138441</v>
      </c>
      <c r="I12" s="59">
        <f>pnl!I20</f>
        <v>79107</v>
      </c>
    </row>
    <row r="13" spans="1:9">
      <c r="A13" s="58"/>
      <c r="C13" s="59"/>
      <c r="D13" s="86"/>
      <c r="F13" s="59"/>
      <c r="H13" s="59"/>
      <c r="I13" s="59"/>
    </row>
    <row r="14" spans="1:9" ht="15.5">
      <c r="A14" s="87" t="s">
        <v>167</v>
      </c>
      <c r="C14" s="88">
        <f t="shared" ref="C14:I14" si="1">C10+C11+C12</f>
        <v>2227020.0000000037</v>
      </c>
      <c r="D14" s="89">
        <f t="shared" si="1"/>
        <v>1996802.0000000037</v>
      </c>
      <c r="E14" s="90">
        <f t="shared" si="1"/>
        <v>2076007.0000000037</v>
      </c>
      <c r="F14" s="88">
        <f t="shared" si="1"/>
        <v>1899242</v>
      </c>
      <c r="G14" s="90">
        <f t="shared" si="1"/>
        <v>1963333</v>
      </c>
      <c r="H14" s="88">
        <f t="shared" si="1"/>
        <v>1873853</v>
      </c>
      <c r="I14" s="88">
        <f t="shared" si="1"/>
        <v>1810701</v>
      </c>
    </row>
    <row r="15" spans="1:9">
      <c r="A15" s="58"/>
      <c r="C15" s="59"/>
      <c r="D15" s="86"/>
      <c r="F15" s="57"/>
      <c r="H15" s="57"/>
      <c r="I15" s="57"/>
    </row>
    <row r="16" spans="1:9">
      <c r="A16" s="58" t="s">
        <v>166</v>
      </c>
      <c r="C16" s="59">
        <f>C12</f>
        <v>400500</v>
      </c>
      <c r="D16" s="86">
        <f t="shared" ref="D16:I16" si="2">D12</f>
        <v>375777</v>
      </c>
      <c r="E16">
        <f t="shared" si="2"/>
        <v>316443</v>
      </c>
      <c r="F16" s="59">
        <f t="shared" si="2"/>
        <v>257109</v>
      </c>
      <c r="G16">
        <f t="shared" si="2"/>
        <v>197775</v>
      </c>
      <c r="H16" s="59">
        <f t="shared" si="2"/>
        <v>138441</v>
      </c>
      <c r="I16" s="59">
        <f t="shared" si="2"/>
        <v>79107</v>
      </c>
    </row>
    <row r="17" spans="1:12">
      <c r="A17" s="58" t="s">
        <v>168</v>
      </c>
      <c r="C17" s="261">
        <f>'repayment '!C10</f>
        <v>274695</v>
      </c>
      <c r="D17" s="86">
        <f>'repayment '!C11</f>
        <v>659268</v>
      </c>
      <c r="E17">
        <f>'repayment '!C12</f>
        <v>659268</v>
      </c>
      <c r="F17" s="59">
        <f>'repayment '!C13</f>
        <v>659268</v>
      </c>
      <c r="G17">
        <f>'repayment '!C14</f>
        <v>659268</v>
      </c>
      <c r="H17" s="59">
        <f>'repayment '!C15</f>
        <v>659268</v>
      </c>
      <c r="I17" s="59">
        <f>'repayment '!C16</f>
        <v>659268</v>
      </c>
    </row>
    <row r="18" spans="1:12">
      <c r="A18" s="58"/>
      <c r="C18" s="59"/>
      <c r="D18" s="86"/>
      <c r="F18" s="59"/>
      <c r="H18" s="59"/>
      <c r="I18" s="59"/>
    </row>
    <row r="19" spans="1:12" ht="15.5">
      <c r="A19" s="87" t="s">
        <v>167</v>
      </c>
      <c r="C19" s="61">
        <f>C16+C17</f>
        <v>675195</v>
      </c>
      <c r="D19" s="91">
        <f t="shared" ref="D19:I19" si="3">D16+D17</f>
        <v>1035045</v>
      </c>
      <c r="E19" s="62">
        <f t="shared" si="3"/>
        <v>975711</v>
      </c>
      <c r="F19" s="61">
        <f t="shared" si="3"/>
        <v>916377</v>
      </c>
      <c r="G19" s="62">
        <f t="shared" si="3"/>
        <v>857043</v>
      </c>
      <c r="H19" s="61">
        <f t="shared" si="3"/>
        <v>797709</v>
      </c>
      <c r="I19" s="61">
        <f t="shared" si="3"/>
        <v>738375</v>
      </c>
    </row>
    <row r="20" spans="1:12">
      <c r="A20" s="58"/>
      <c r="C20" s="59"/>
      <c r="D20" s="86"/>
      <c r="F20" s="59"/>
      <c r="H20" s="59"/>
      <c r="I20" s="59"/>
    </row>
    <row r="21" spans="1:12">
      <c r="A21" s="65" t="s">
        <v>169</v>
      </c>
      <c r="C21" s="61">
        <v>3.29</v>
      </c>
      <c r="D21" s="91">
        <v>1.92</v>
      </c>
      <c r="E21" s="91">
        <v>2.12</v>
      </c>
      <c r="F21" s="91">
        <v>2.0699999999999998</v>
      </c>
      <c r="G21" s="91">
        <v>2.29</v>
      </c>
      <c r="H21" s="91">
        <v>2.34</v>
      </c>
      <c r="I21" s="91">
        <v>2.4500000000000002</v>
      </c>
    </row>
    <row r="22" spans="1:12">
      <c r="A22" s="65"/>
      <c r="C22" s="88"/>
      <c r="D22" s="89"/>
      <c r="E22" s="90"/>
      <c r="F22" s="88"/>
      <c r="G22" s="90"/>
      <c r="H22" s="92"/>
      <c r="I22" s="92"/>
    </row>
    <row r="23" spans="1:12">
      <c r="A23" s="79" t="s">
        <v>170</v>
      </c>
      <c r="B23" s="93"/>
      <c r="C23" s="75"/>
      <c r="D23" s="384">
        <v>2.35</v>
      </c>
      <c r="E23" s="384"/>
      <c r="F23" s="384"/>
      <c r="G23" s="384"/>
      <c r="H23" s="385"/>
      <c r="I23" s="75"/>
    </row>
    <row r="24" spans="1:12">
      <c r="C24">
        <f>C14/C19</f>
        <v>3.298336036256198</v>
      </c>
      <c r="D24">
        <f t="shared" ref="D24:I24" si="4">D14/D19</f>
        <v>1.9291934167113542</v>
      </c>
      <c r="E24">
        <f t="shared" si="4"/>
        <v>2.127686374346506</v>
      </c>
      <c r="F24">
        <f t="shared" si="4"/>
        <v>2.0725552911083538</v>
      </c>
      <c r="G24">
        <f t="shared" si="4"/>
        <v>2.290822047435193</v>
      </c>
      <c r="H24">
        <f t="shared" si="4"/>
        <v>2.3490433228157137</v>
      </c>
      <c r="I24">
        <f t="shared" si="4"/>
        <v>2.4522783138649062</v>
      </c>
    </row>
    <row r="26" spans="1:12" ht="15.5">
      <c r="A26" s="309" t="s">
        <v>171</v>
      </c>
      <c r="B26" s="309"/>
      <c r="C26" s="309"/>
      <c r="D26" s="309"/>
      <c r="E26" s="309"/>
      <c r="F26" s="309"/>
      <c r="G26" s="309"/>
      <c r="H26" s="309"/>
      <c r="I26" s="309"/>
    </row>
    <row r="27" spans="1:12">
      <c r="A27" s="312"/>
      <c r="B27" s="312"/>
      <c r="C27" s="312"/>
      <c r="D27" s="312"/>
      <c r="E27" s="312"/>
      <c r="F27" s="312"/>
      <c r="G27" s="312"/>
      <c r="H27" s="312"/>
    </row>
    <row r="28" spans="1:12">
      <c r="A28" s="368" t="s">
        <v>73</v>
      </c>
      <c r="B28" s="377"/>
      <c r="C28" s="51" t="s">
        <v>74</v>
      </c>
      <c r="D28" s="51" t="s">
        <v>74</v>
      </c>
      <c r="E28" s="51" t="s">
        <v>74</v>
      </c>
      <c r="F28" s="51" t="s">
        <v>74</v>
      </c>
      <c r="G28" s="52" t="s">
        <v>74</v>
      </c>
      <c r="H28" s="51" t="s">
        <v>74</v>
      </c>
      <c r="I28" s="51" t="s">
        <v>74</v>
      </c>
    </row>
    <row r="29" spans="1:12">
      <c r="A29" s="370"/>
      <c r="B29" s="378"/>
      <c r="C29" s="53" t="s">
        <v>75</v>
      </c>
      <c r="D29" s="53" t="s">
        <v>75</v>
      </c>
      <c r="E29" s="1" t="s">
        <v>75</v>
      </c>
      <c r="F29" s="53" t="s">
        <v>75</v>
      </c>
      <c r="G29" s="1" t="s">
        <v>75</v>
      </c>
      <c r="H29" s="54" t="s">
        <v>75</v>
      </c>
      <c r="I29" s="54" t="s">
        <v>75</v>
      </c>
    </row>
    <row r="30" spans="1:12">
      <c r="A30" s="372"/>
      <c r="B30" s="379"/>
      <c r="C30" s="55">
        <v>2027</v>
      </c>
      <c r="D30" s="55">
        <f>1+C30</f>
        <v>2028</v>
      </c>
      <c r="E30" s="55">
        <f t="shared" ref="E30:I30" si="5">1+D30</f>
        <v>2029</v>
      </c>
      <c r="F30" s="55">
        <f t="shared" si="5"/>
        <v>2030</v>
      </c>
      <c r="G30" s="55">
        <f t="shared" si="5"/>
        <v>2031</v>
      </c>
      <c r="H30" s="55">
        <f t="shared" si="5"/>
        <v>2032</v>
      </c>
      <c r="I30" s="55">
        <f t="shared" si="5"/>
        <v>2033</v>
      </c>
      <c r="L30" s="1"/>
    </row>
    <row r="31" spans="1:12">
      <c r="A31" s="386"/>
      <c r="B31" s="387"/>
      <c r="C31" s="57"/>
      <c r="D31" s="84"/>
      <c r="E31" s="57"/>
      <c r="F31" s="84"/>
      <c r="G31" s="57"/>
      <c r="H31" s="84"/>
      <c r="I31" s="57"/>
    </row>
    <row r="32" spans="1:12">
      <c r="A32" s="388" t="s">
        <v>172</v>
      </c>
      <c r="B32" s="389"/>
      <c r="C32" s="75">
        <f>bs!C17+bs!C21</f>
        <v>5487705</v>
      </c>
      <c r="D32" s="75">
        <f>bs!D17+bs!D21</f>
        <v>4959677</v>
      </c>
      <c r="E32" s="75">
        <f>bs!E17+bs!E21</f>
        <v>4444773</v>
      </c>
      <c r="F32" s="75">
        <f>bs!F17+bs!F21</f>
        <v>4261906</v>
      </c>
      <c r="G32" s="75">
        <f>bs!G17+bs!G21</f>
        <v>4015519</v>
      </c>
      <c r="H32" s="75">
        <f>bs!H17+bs!H21</f>
        <v>3851708</v>
      </c>
      <c r="I32" s="75">
        <f>bs!I17+bs!I21</f>
        <v>4084263</v>
      </c>
    </row>
    <row r="33" spans="1:9">
      <c r="A33" s="390"/>
      <c r="B33" s="367"/>
      <c r="C33" s="59"/>
      <c r="E33" s="59"/>
      <c r="G33" s="59"/>
      <c r="I33" s="59"/>
    </row>
    <row r="34" spans="1:9">
      <c r="A34" s="388" t="s">
        <v>173</v>
      </c>
      <c r="B34" s="389"/>
      <c r="C34" s="75">
        <f>bs!C11</f>
        <v>4877560</v>
      </c>
      <c r="D34" s="74">
        <f>bs!D11</f>
        <v>5223819.0000000037</v>
      </c>
      <c r="E34" s="75">
        <f>bs!E11</f>
        <v>5480223.0000000075</v>
      </c>
      <c r="F34" s="74">
        <f>bs!F11</f>
        <v>5962819.0000000112</v>
      </c>
      <c r="G34" s="75">
        <f>bs!G11</f>
        <v>6390785.0000000112</v>
      </c>
      <c r="H34" s="74">
        <f>bs!H11</f>
        <v>6982683.0000000112</v>
      </c>
      <c r="I34" s="75">
        <f>bs!I11</f>
        <v>7564704.0000000112</v>
      </c>
    </row>
    <row r="35" spans="1:9">
      <c r="A35" s="390"/>
      <c r="B35" s="367"/>
      <c r="C35" s="59"/>
      <c r="E35" s="59"/>
      <c r="G35" s="59"/>
      <c r="I35" s="59"/>
    </row>
    <row r="36" spans="1:9">
      <c r="A36" s="388" t="s">
        <v>174</v>
      </c>
      <c r="B36" s="389"/>
      <c r="C36" s="75">
        <v>1.1200000000000001</v>
      </c>
      <c r="D36" s="74">
        <v>0.94</v>
      </c>
      <c r="E36" s="75">
        <v>0.81</v>
      </c>
      <c r="F36" s="74">
        <v>0.71</v>
      </c>
      <c r="G36" s="75">
        <v>0.62</v>
      </c>
      <c r="H36" s="74">
        <v>0.55000000000000004</v>
      </c>
      <c r="I36" s="75">
        <v>0.53</v>
      </c>
    </row>
    <row r="37" spans="1:9">
      <c r="C37">
        <f>C32/C34</f>
        <v>1.1250922592443764</v>
      </c>
      <c r="D37">
        <f t="shared" ref="D37:I37" si="6">D32/D34</f>
        <v>0.94943507805304828</v>
      </c>
      <c r="E37">
        <f t="shared" si="6"/>
        <v>0.81105695881353623</v>
      </c>
      <c r="F37">
        <f t="shared" si="6"/>
        <v>0.71474683367044878</v>
      </c>
      <c r="G37">
        <f t="shared" si="6"/>
        <v>0.62832954011126851</v>
      </c>
      <c r="H37">
        <f t="shared" si="6"/>
        <v>0.55160860087734098</v>
      </c>
      <c r="I37">
        <f t="shared" si="6"/>
        <v>0.53991048427010413</v>
      </c>
    </row>
    <row r="40" spans="1:9">
      <c r="A40" s="205" t="s">
        <v>304</v>
      </c>
    </row>
    <row r="42" spans="1:9">
      <c r="G42" s="277" t="s">
        <v>220</v>
      </c>
    </row>
  </sheetData>
  <mergeCells count="16">
    <mergeCell ref="A36:B36"/>
    <mergeCell ref="A7:B9"/>
    <mergeCell ref="A32:B32"/>
    <mergeCell ref="A33:B33"/>
    <mergeCell ref="A34:B34"/>
    <mergeCell ref="A35:B35"/>
    <mergeCell ref="D23:H23"/>
    <mergeCell ref="A26:I26"/>
    <mergeCell ref="A27:H27"/>
    <mergeCell ref="A31:B31"/>
    <mergeCell ref="A28:B30"/>
    <mergeCell ref="A2:I2"/>
    <mergeCell ref="A3:I3"/>
    <mergeCell ref="A4:I4"/>
    <mergeCell ref="A5:I5"/>
    <mergeCell ref="A6:H6"/>
  </mergeCells>
  <pageMargins left="0.7" right="0.7" top="0.75" bottom="0.75" header="0.3" footer="0.3"/>
  <pageSetup paperSize="9" scale="8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100"/>
  <sheetViews>
    <sheetView zoomScale="85" zoomScaleNormal="85" workbookViewId="0">
      <selection activeCell="A3" sqref="A3:I3"/>
    </sheetView>
  </sheetViews>
  <sheetFormatPr defaultColWidth="9" defaultRowHeight="14.5"/>
  <cols>
    <col min="2" max="2" width="16.453125" customWidth="1"/>
    <col min="3" max="3" width="12.7265625" customWidth="1"/>
    <col min="4" max="4" width="12.453125" customWidth="1"/>
    <col min="5" max="5" width="10.81640625" customWidth="1"/>
    <col min="6" max="6" width="10.7265625" customWidth="1"/>
    <col min="7" max="7" width="11.1796875" customWidth="1"/>
    <col min="8" max="8" width="10.81640625" customWidth="1"/>
    <col min="9" max="9" width="10.26953125" customWidth="1"/>
  </cols>
  <sheetData>
    <row r="2" spans="1:9" ht="18.5">
      <c r="A2" s="293" t="s">
        <v>302</v>
      </c>
      <c r="B2" s="293"/>
      <c r="C2" s="293"/>
      <c r="D2" s="293"/>
      <c r="E2" s="293"/>
      <c r="F2" s="293"/>
      <c r="G2" s="293"/>
      <c r="H2" s="293"/>
      <c r="I2" s="293"/>
    </row>
    <row r="3" spans="1:9">
      <c r="A3" s="424" t="s">
        <v>323</v>
      </c>
      <c r="B3" s="374"/>
      <c r="C3" s="374"/>
      <c r="D3" s="374"/>
      <c r="E3" s="374"/>
      <c r="F3" s="374"/>
      <c r="G3" s="374"/>
      <c r="H3" s="374"/>
      <c r="I3" s="374"/>
    </row>
    <row r="4" spans="1:9">
      <c r="A4" s="362" t="s">
        <v>325</v>
      </c>
      <c r="B4" s="294"/>
      <c r="C4" s="294"/>
      <c r="D4" s="294"/>
      <c r="E4" s="294"/>
      <c r="F4" s="294"/>
      <c r="G4" s="294"/>
      <c r="H4" s="294"/>
      <c r="I4" s="294"/>
    </row>
    <row r="5" spans="1:9">
      <c r="A5" s="294"/>
      <c r="B5" s="294"/>
      <c r="C5" s="294"/>
      <c r="D5" s="294"/>
      <c r="E5" s="294"/>
      <c r="F5" s="294"/>
      <c r="G5" s="294"/>
      <c r="H5" s="294"/>
      <c r="I5" s="294"/>
    </row>
    <row r="6" spans="1:9" ht="15.5">
      <c r="A6" s="309" t="s">
        <v>175</v>
      </c>
      <c r="B6" s="309"/>
      <c r="C6" s="309"/>
      <c r="D6" s="309"/>
      <c r="E6" s="309"/>
      <c r="F6" s="309"/>
      <c r="G6" s="309"/>
      <c r="H6" s="309"/>
      <c r="I6" s="309"/>
    </row>
    <row r="7" spans="1:9" ht="16.5" customHeight="1">
      <c r="A7" s="312"/>
      <c r="B7" s="312"/>
      <c r="C7" s="312"/>
      <c r="D7" s="312"/>
      <c r="E7" s="312"/>
      <c r="F7" s="312"/>
      <c r="G7" s="312"/>
      <c r="H7" s="312"/>
      <c r="I7" s="312"/>
    </row>
    <row r="8" spans="1:9" ht="15" thickBot="1">
      <c r="A8" s="392" t="s">
        <v>73</v>
      </c>
      <c r="B8" s="393"/>
      <c r="C8" s="51" t="s">
        <v>74</v>
      </c>
      <c r="D8" s="51" t="s">
        <v>74</v>
      </c>
      <c r="E8" s="51" t="s">
        <v>74</v>
      </c>
      <c r="F8" s="51" t="s">
        <v>74</v>
      </c>
      <c r="G8" s="52" t="s">
        <v>74</v>
      </c>
      <c r="H8" s="51" t="s">
        <v>74</v>
      </c>
      <c r="I8" s="51" t="s">
        <v>74</v>
      </c>
    </row>
    <row r="9" spans="1:9">
      <c r="A9" s="394"/>
      <c r="B9" s="395"/>
      <c r="C9" s="53" t="s">
        <v>75</v>
      </c>
      <c r="D9" s="194" t="s">
        <v>75</v>
      </c>
      <c r="E9" s="53" t="s">
        <v>75</v>
      </c>
      <c r="F9" s="54" t="s">
        <v>75</v>
      </c>
      <c r="G9" s="1" t="s">
        <v>75</v>
      </c>
      <c r="H9" s="54" t="s">
        <v>75</v>
      </c>
      <c r="I9" s="54" t="s">
        <v>75</v>
      </c>
    </row>
    <row r="10" spans="1:9" ht="15" thickBot="1">
      <c r="A10" s="396"/>
      <c r="B10" s="397"/>
      <c r="C10" s="55">
        <v>2027</v>
      </c>
      <c r="D10" s="55">
        <f>1+C10</f>
        <v>2028</v>
      </c>
      <c r="E10" s="55">
        <f t="shared" ref="E10:I10" si="0">1+D10</f>
        <v>2029</v>
      </c>
      <c r="F10" s="55">
        <f t="shared" si="0"/>
        <v>2030</v>
      </c>
      <c r="G10" s="55">
        <f t="shared" si="0"/>
        <v>2031</v>
      </c>
      <c r="H10" s="55">
        <f t="shared" si="0"/>
        <v>2032</v>
      </c>
      <c r="I10" s="55">
        <f t="shared" si="0"/>
        <v>2033</v>
      </c>
    </row>
    <row r="11" spans="1:9" ht="21">
      <c r="A11" s="192" t="s">
        <v>255</v>
      </c>
      <c r="C11" s="57"/>
      <c r="D11" s="96"/>
      <c r="E11" s="59"/>
      <c r="F11" s="57"/>
      <c r="H11" s="57"/>
      <c r="I11" s="57"/>
    </row>
    <row r="12" spans="1:9" ht="13.5" customHeight="1">
      <c r="A12" s="58" t="s">
        <v>51</v>
      </c>
      <c r="C12" s="59" t="s">
        <v>21</v>
      </c>
      <c r="D12" s="58" t="s">
        <v>21</v>
      </c>
      <c r="E12" s="59"/>
      <c r="F12" s="59"/>
      <c r="H12" s="59"/>
      <c r="I12" s="59"/>
    </row>
    <row r="13" spans="1:9">
      <c r="A13" s="58" t="s">
        <v>176</v>
      </c>
      <c r="C13" s="59">
        <f>bs!C25</f>
        <v>7031070</v>
      </c>
      <c r="D13" s="58">
        <f>bs!D25</f>
        <v>5976410</v>
      </c>
      <c r="E13" s="59">
        <f>bs!E25</f>
        <v>5079948</v>
      </c>
      <c r="F13" s="59">
        <f>bs!F25</f>
        <v>4317956</v>
      </c>
      <c r="G13" s="59">
        <f>bs!G25</f>
        <v>3670262</v>
      </c>
      <c r="H13" s="59">
        <f>bs!H25</f>
        <v>3119723</v>
      </c>
      <c r="I13" s="59">
        <f>bs!I25</f>
        <v>2651765</v>
      </c>
    </row>
    <row r="14" spans="1:9">
      <c r="A14" s="58" t="s">
        <v>177</v>
      </c>
      <c r="C14" s="60">
        <f>bs!C30</f>
        <v>250000</v>
      </c>
      <c r="D14" s="146">
        <f>bs!D30</f>
        <v>300000</v>
      </c>
      <c r="E14" s="59">
        <f>bs!E30</f>
        <v>360000</v>
      </c>
      <c r="F14" s="59">
        <f>bs!F30</f>
        <v>680401</v>
      </c>
      <c r="G14">
        <f>bs!G30</f>
        <v>858062</v>
      </c>
      <c r="H14" s="59">
        <f>bs!H30</f>
        <v>1075413</v>
      </c>
      <c r="I14" s="59">
        <f>bs!I30</f>
        <v>1075000</v>
      </c>
    </row>
    <row r="15" spans="1:9">
      <c r="A15" s="58" t="s">
        <v>178</v>
      </c>
      <c r="C15" s="59">
        <f>bs!C38-bs!C30-bs!C27</f>
        <v>4485115</v>
      </c>
      <c r="D15" s="58">
        <f>bs!D38-bs!D30-bs!D27</f>
        <v>5059951</v>
      </c>
      <c r="E15" s="59">
        <f>bs!E38-bs!E30-bs!E27</f>
        <v>5729636</v>
      </c>
      <c r="F15" s="59">
        <f>bs!F38-bs!F30-bs!F27</f>
        <v>6302027</v>
      </c>
      <c r="G15">
        <f>bs!G38-bs!G30-bs!G27</f>
        <v>7020417</v>
      </c>
      <c r="H15" s="59">
        <f>bs!H38-bs!H30-bs!H27</f>
        <v>7689234</v>
      </c>
      <c r="I15" s="59">
        <f>bs!I38-bs!I30-bs!I27</f>
        <v>8899820</v>
      </c>
    </row>
    <row r="16" spans="1:9">
      <c r="A16" s="58"/>
      <c r="C16" s="61">
        <f t="shared" ref="C16:I16" si="1">C13+C14+C15</f>
        <v>11766185</v>
      </c>
      <c r="D16" s="196">
        <f t="shared" si="1"/>
        <v>11336361</v>
      </c>
      <c r="E16" s="61">
        <f t="shared" si="1"/>
        <v>11169584</v>
      </c>
      <c r="F16" s="61">
        <f t="shared" si="1"/>
        <v>11300384</v>
      </c>
      <c r="G16" s="62">
        <f t="shared" si="1"/>
        <v>11548741</v>
      </c>
      <c r="H16" s="61">
        <f t="shared" si="1"/>
        <v>11884370</v>
      </c>
      <c r="I16" s="61">
        <f t="shared" si="1"/>
        <v>12626585</v>
      </c>
    </row>
    <row r="17" spans="1:9">
      <c r="A17" s="58" t="s">
        <v>172</v>
      </c>
      <c r="C17" s="59"/>
      <c r="D17" s="58"/>
      <c r="E17" s="59"/>
      <c r="F17" s="59"/>
      <c r="H17" s="59"/>
      <c r="I17" s="59"/>
    </row>
    <row r="18" spans="1:9">
      <c r="A18" s="58" t="s">
        <v>179</v>
      </c>
      <c r="C18" s="59">
        <f>bs!C21</f>
        <v>1312400</v>
      </c>
      <c r="D18" s="58">
        <f>bs!D21</f>
        <v>1443640</v>
      </c>
      <c r="E18" s="59">
        <f>bs!E21</f>
        <v>1588004</v>
      </c>
      <c r="F18" s="59">
        <f>bs!F21</f>
        <v>2064405</v>
      </c>
      <c r="G18">
        <f>bs!G21</f>
        <v>2477286</v>
      </c>
      <c r="H18" s="59">
        <f>bs!H21</f>
        <v>2972743</v>
      </c>
      <c r="I18" s="59">
        <f>bs!I21</f>
        <v>3864566</v>
      </c>
    </row>
    <row r="19" spans="1:9">
      <c r="A19" s="58" t="s">
        <v>180</v>
      </c>
      <c r="C19" s="59">
        <f>bs!C17+bs!C18</f>
        <v>4175305</v>
      </c>
      <c r="D19" s="58">
        <f>bs!D17+bs!D18</f>
        <v>3516037</v>
      </c>
      <c r="E19" s="59">
        <f>bs!E17+bs!E18</f>
        <v>2856769</v>
      </c>
      <c r="F19" s="59">
        <f>bs!F17+bs!F18</f>
        <v>2197501</v>
      </c>
      <c r="G19">
        <f>bs!G17+bs!G18</f>
        <v>1538233</v>
      </c>
      <c r="H19" s="59">
        <f>bs!H17+bs!H18</f>
        <v>878965</v>
      </c>
      <c r="I19" s="59">
        <f>bs!I17+bs!I18</f>
        <v>219697</v>
      </c>
    </row>
    <row r="20" spans="1:9" ht="15.5">
      <c r="A20" s="58" t="s">
        <v>181</v>
      </c>
      <c r="C20" s="63" t="s">
        <v>94</v>
      </c>
      <c r="D20" s="197" t="s">
        <v>94</v>
      </c>
      <c r="E20" s="63" t="s">
        <v>94</v>
      </c>
      <c r="F20" s="63" t="s">
        <v>94</v>
      </c>
      <c r="G20" s="64" t="s">
        <v>94</v>
      </c>
      <c r="H20" s="63" t="s">
        <v>94</v>
      </c>
      <c r="I20" s="63" t="s">
        <v>94</v>
      </c>
    </row>
    <row r="21" spans="1:9">
      <c r="A21" s="58"/>
      <c r="C21" s="61">
        <f>C19+C18</f>
        <v>5487705</v>
      </c>
      <c r="D21" s="196">
        <f>D19+D18</f>
        <v>4959677</v>
      </c>
      <c r="E21" s="61">
        <f>E18+E19</f>
        <v>4444773</v>
      </c>
      <c r="F21" s="61">
        <f>F18+F19</f>
        <v>4261906</v>
      </c>
      <c r="G21" s="62">
        <f>G18+G19</f>
        <v>4015519</v>
      </c>
      <c r="H21" s="61">
        <f>H18+H19</f>
        <v>3851708</v>
      </c>
      <c r="I21" s="61">
        <f>I18+I19</f>
        <v>4084263</v>
      </c>
    </row>
    <row r="22" spans="1:9">
      <c r="A22" s="58"/>
      <c r="C22" s="59"/>
      <c r="D22" s="58"/>
      <c r="E22" s="59"/>
      <c r="F22" s="59"/>
      <c r="H22" s="59"/>
      <c r="I22" s="59"/>
    </row>
    <row r="23" spans="1:9">
      <c r="A23" s="193" t="s">
        <v>255</v>
      </c>
      <c r="C23" s="66">
        <f t="shared" ref="C23:I23" si="2">C16-C21</f>
        <v>6278480</v>
      </c>
      <c r="D23" s="198">
        <f t="shared" si="2"/>
        <v>6376684</v>
      </c>
      <c r="E23" s="66">
        <f t="shared" si="2"/>
        <v>6724811</v>
      </c>
      <c r="F23" s="66">
        <f t="shared" si="2"/>
        <v>7038478</v>
      </c>
      <c r="G23" s="67">
        <f t="shared" si="2"/>
        <v>7533222</v>
      </c>
      <c r="H23" s="66">
        <f t="shared" si="2"/>
        <v>8032662</v>
      </c>
      <c r="I23" s="66">
        <f t="shared" si="2"/>
        <v>8542322</v>
      </c>
    </row>
    <row r="24" spans="1:9">
      <c r="A24" s="58"/>
      <c r="C24" s="59"/>
      <c r="D24" s="58"/>
      <c r="E24" s="59"/>
      <c r="F24" s="59"/>
      <c r="H24" s="59"/>
      <c r="I24" s="59"/>
    </row>
    <row r="25" spans="1:9" ht="21">
      <c r="A25" s="56" t="s">
        <v>89</v>
      </c>
      <c r="C25" s="59"/>
      <c r="D25" s="58"/>
      <c r="E25" s="59"/>
      <c r="F25" s="59"/>
      <c r="H25" s="59"/>
      <c r="I25" s="59"/>
    </row>
    <row r="26" spans="1:9">
      <c r="A26" s="58" t="s">
        <v>182</v>
      </c>
      <c r="C26" s="59">
        <f>'trading '!C12</f>
        <v>24750000.000000004</v>
      </c>
      <c r="D26" s="58">
        <f>'trading '!D12</f>
        <v>25987500.000000004</v>
      </c>
      <c r="E26" s="59">
        <f>'trading '!E12</f>
        <v>27286875.000000004</v>
      </c>
      <c r="F26" s="59">
        <f>'trading '!F12</f>
        <v>29953546</v>
      </c>
      <c r="G26">
        <f>'trading '!G12</f>
        <v>31451224</v>
      </c>
      <c r="H26" s="59">
        <f>'trading '!H12</f>
        <v>35895418</v>
      </c>
      <c r="I26" s="59">
        <f>'trading '!I12</f>
        <v>37690188</v>
      </c>
    </row>
    <row r="27" spans="1:9">
      <c r="A27" s="65" t="s">
        <v>183</v>
      </c>
      <c r="C27" s="59"/>
      <c r="D27" s="58"/>
      <c r="E27" s="59"/>
      <c r="F27" s="59"/>
      <c r="H27" s="59"/>
      <c r="I27" s="59"/>
    </row>
    <row r="28" spans="1:9">
      <c r="A28" s="58" t="s">
        <v>80</v>
      </c>
      <c r="C28" s="60">
        <f>'trading '!C16</f>
        <v>0</v>
      </c>
      <c r="D28" s="146">
        <f>'trading '!D16</f>
        <v>2431200</v>
      </c>
      <c r="E28" s="59">
        <f>'trading '!E16</f>
        <v>2674320</v>
      </c>
      <c r="F28" s="59">
        <f>'trading '!F16</f>
        <v>2941752</v>
      </c>
      <c r="G28">
        <f>'trading '!G16</f>
        <v>3235927</v>
      </c>
      <c r="H28" s="59">
        <f>'trading '!H16</f>
        <v>3559520</v>
      </c>
      <c r="I28" s="59">
        <f>'trading '!I16</f>
        <v>3915472</v>
      </c>
    </row>
    <row r="29" spans="1:9">
      <c r="A29" s="58" t="s">
        <v>184</v>
      </c>
      <c r="C29" s="59">
        <f>'trading '!C24</f>
        <v>23053460</v>
      </c>
      <c r="D29" s="58">
        <f>'trading '!D24</f>
        <v>24664226</v>
      </c>
      <c r="E29" s="59">
        <f>'trading '!E24</f>
        <v>26041749</v>
      </c>
      <c r="F29" s="59">
        <f>'trading '!F24</f>
        <v>28949234</v>
      </c>
      <c r="G29">
        <f>'trading '!G24</f>
        <v>30571313</v>
      </c>
      <c r="H29" s="59">
        <f>'trading '!H24</f>
        <v>35232229</v>
      </c>
      <c r="I29" s="59">
        <f>'trading '!I24</f>
        <v>37205126</v>
      </c>
    </row>
    <row r="30" spans="1:9">
      <c r="A30" s="58" t="s">
        <v>185</v>
      </c>
      <c r="C30" s="59">
        <f>-('trading '!C26)</f>
        <v>-2431200</v>
      </c>
      <c r="D30" s="58">
        <f>-('trading '!D26)</f>
        <v>-2674320</v>
      </c>
      <c r="E30" s="59">
        <f>-('trading '!E26)</f>
        <v>-2941752</v>
      </c>
      <c r="F30" s="59">
        <f>-('trading '!F26)</f>
        <v>-3235927</v>
      </c>
      <c r="G30" s="59">
        <f>-('trading '!G26)</f>
        <v>-3559520</v>
      </c>
      <c r="H30" s="59">
        <f>-('trading '!H26)</f>
        <v>-3915472</v>
      </c>
      <c r="I30" s="59">
        <f>-('trading '!I26)</f>
        <v>-4307019</v>
      </c>
    </row>
    <row r="31" spans="1:9">
      <c r="A31" s="58" t="s">
        <v>183</v>
      </c>
      <c r="C31" s="59">
        <f t="shared" ref="C31:I31" si="3">C29+C30</f>
        <v>20622260</v>
      </c>
      <c r="D31" s="58">
        <f t="shared" si="3"/>
        <v>21989906</v>
      </c>
      <c r="E31" s="59">
        <f t="shared" si="3"/>
        <v>23099997</v>
      </c>
      <c r="F31" s="59">
        <f t="shared" si="3"/>
        <v>25713307</v>
      </c>
      <c r="G31">
        <f t="shared" si="3"/>
        <v>27011793</v>
      </c>
      <c r="H31" s="59">
        <f t="shared" si="3"/>
        <v>31316757</v>
      </c>
      <c r="I31" s="59">
        <f t="shared" si="3"/>
        <v>32898107</v>
      </c>
    </row>
    <row r="32" spans="1:9">
      <c r="A32" s="58"/>
      <c r="C32" s="59"/>
      <c r="D32" s="58"/>
      <c r="E32" s="59"/>
      <c r="F32" s="59"/>
      <c r="H32" s="59"/>
      <c r="I32" s="59"/>
    </row>
    <row r="33" spans="1:10">
      <c r="A33" s="58" t="s">
        <v>186</v>
      </c>
      <c r="C33" s="59">
        <f t="shared" ref="C33:I33" si="4">C26-C31</f>
        <v>4127740.0000000037</v>
      </c>
      <c r="D33" s="58">
        <f t="shared" si="4"/>
        <v>3997594.0000000037</v>
      </c>
      <c r="E33" s="59">
        <f t="shared" si="4"/>
        <v>4186878.0000000037</v>
      </c>
      <c r="F33" s="59">
        <f t="shared" si="4"/>
        <v>4240239</v>
      </c>
      <c r="G33">
        <f t="shared" si="4"/>
        <v>4439431</v>
      </c>
      <c r="H33" s="59">
        <f t="shared" si="4"/>
        <v>4578661</v>
      </c>
      <c r="I33" s="59">
        <f t="shared" si="4"/>
        <v>4792081</v>
      </c>
    </row>
    <row r="34" spans="1:10">
      <c r="A34" s="65" t="s">
        <v>187</v>
      </c>
      <c r="C34" s="68">
        <f t="shared" ref="C34:I34" si="5">C33/C26</f>
        <v>0.16677737373737386</v>
      </c>
      <c r="D34" s="199">
        <f t="shared" si="5"/>
        <v>0.15382757094757107</v>
      </c>
      <c r="E34" s="68">
        <f t="shared" si="5"/>
        <v>0.15343926338212063</v>
      </c>
      <c r="F34" s="68">
        <f t="shared" si="5"/>
        <v>0.14156050171822729</v>
      </c>
      <c r="G34" s="10">
        <f t="shared" si="5"/>
        <v>0.14115288486069733</v>
      </c>
      <c r="H34" s="68">
        <f t="shared" si="5"/>
        <v>0.12755558383524049</v>
      </c>
      <c r="I34" s="68">
        <f t="shared" si="5"/>
        <v>0.12714399302014626</v>
      </c>
    </row>
    <row r="35" spans="1:10">
      <c r="A35" s="58"/>
      <c r="C35" s="59"/>
      <c r="D35" s="58"/>
      <c r="E35" s="59"/>
      <c r="F35" s="59"/>
      <c r="H35" s="59"/>
      <c r="I35" s="59"/>
    </row>
    <row r="36" spans="1:10" ht="21">
      <c r="A36" s="56" t="s">
        <v>188</v>
      </c>
      <c r="C36" s="59"/>
      <c r="D36" s="58"/>
      <c r="E36" s="59"/>
      <c r="F36" s="59"/>
      <c r="H36" s="59"/>
      <c r="I36" s="59"/>
    </row>
    <row r="37" spans="1:10">
      <c r="A37" s="58" t="s">
        <v>165</v>
      </c>
      <c r="C37" s="59">
        <f>pnl!C32</f>
        <v>771859.00000000373</v>
      </c>
      <c r="D37" s="58">
        <f>pnl!D32</f>
        <v>724564.00000000373</v>
      </c>
      <c r="E37" s="59">
        <f>pnl!E32</f>
        <v>997572.00000000373</v>
      </c>
      <c r="F37" s="59">
        <f>pnl!F32</f>
        <v>994440</v>
      </c>
      <c r="G37">
        <f>pnl!G32</f>
        <v>1215019</v>
      </c>
      <c r="H37" s="59">
        <f>pnl!H32</f>
        <v>1267454</v>
      </c>
      <c r="I37" s="59">
        <f>pnl!I32</f>
        <v>1333829</v>
      </c>
    </row>
    <row r="38" spans="1:10">
      <c r="A38" s="58" t="s">
        <v>189</v>
      </c>
      <c r="C38" s="59">
        <f>'trading '!C12</f>
        <v>24750000.000000004</v>
      </c>
      <c r="D38" s="58">
        <f>'trading '!D12</f>
        <v>25987500.000000004</v>
      </c>
      <c r="E38" s="59">
        <f>'trading '!E12</f>
        <v>27286875.000000004</v>
      </c>
      <c r="F38" s="59">
        <f>'trading '!F12</f>
        <v>29953546</v>
      </c>
      <c r="G38">
        <f>'trading '!G12</f>
        <v>31451224</v>
      </c>
      <c r="H38" s="59">
        <f>'trading '!H12</f>
        <v>35895418</v>
      </c>
      <c r="I38" s="59">
        <f>'trading '!I12</f>
        <v>37690188</v>
      </c>
    </row>
    <row r="39" spans="1:10">
      <c r="A39" s="58" t="s">
        <v>190</v>
      </c>
      <c r="C39" s="68">
        <f t="shared" ref="C39:I39" si="6">C37/C38</f>
        <v>3.1186222222222369E-2</v>
      </c>
      <c r="D39" s="199">
        <f t="shared" si="6"/>
        <v>2.788125060125074E-2</v>
      </c>
      <c r="E39" s="68">
        <f t="shared" si="6"/>
        <v>3.6558675187246745E-2</v>
      </c>
      <c r="F39" s="68">
        <f t="shared" si="6"/>
        <v>3.3199408176915017E-2</v>
      </c>
      <c r="G39" s="10">
        <f t="shared" si="6"/>
        <v>3.8631851021124014E-2</v>
      </c>
      <c r="H39" s="68">
        <f t="shared" si="6"/>
        <v>3.530963199815642E-2</v>
      </c>
      <c r="I39" s="68">
        <f t="shared" si="6"/>
        <v>3.538929017812275E-2</v>
      </c>
      <c r="J39" s="10"/>
    </row>
    <row r="40" spans="1:10">
      <c r="A40" s="58"/>
      <c r="C40" s="59"/>
      <c r="D40" s="58"/>
      <c r="E40" s="59"/>
      <c r="F40" s="59"/>
      <c r="H40" s="59"/>
      <c r="I40" s="59"/>
    </row>
    <row r="41" spans="1:10" ht="21">
      <c r="A41" s="56" t="s">
        <v>191</v>
      </c>
      <c r="C41" s="59"/>
      <c r="D41" s="58"/>
      <c r="E41" s="59"/>
      <c r="F41" s="59"/>
      <c r="H41" s="59"/>
      <c r="I41" s="59"/>
    </row>
    <row r="42" spans="1:10">
      <c r="A42" s="58" t="s">
        <v>192</v>
      </c>
      <c r="C42" s="59">
        <f t="shared" ref="C42:I42" si="7">C38</f>
        <v>24750000.000000004</v>
      </c>
      <c r="D42" s="58">
        <f t="shared" si="7"/>
        <v>25987500.000000004</v>
      </c>
      <c r="E42" s="59">
        <f t="shared" si="7"/>
        <v>27286875.000000004</v>
      </c>
      <c r="F42" s="59">
        <f t="shared" si="7"/>
        <v>29953546</v>
      </c>
      <c r="G42">
        <f t="shared" si="7"/>
        <v>31451224</v>
      </c>
      <c r="H42" s="59">
        <f t="shared" si="7"/>
        <v>35895418</v>
      </c>
      <c r="I42" s="59">
        <f t="shared" si="7"/>
        <v>37690188</v>
      </c>
    </row>
    <row r="43" spans="1:10">
      <c r="A43" s="58" t="s">
        <v>193</v>
      </c>
      <c r="C43" s="59"/>
      <c r="D43">
        <f t="shared" ref="D43:I43" si="8">D42-C42</f>
        <v>1237500</v>
      </c>
      <c r="E43" s="59">
        <f t="shared" si="8"/>
        <v>1299375</v>
      </c>
      <c r="F43" s="59">
        <f t="shared" si="8"/>
        <v>2666670.9999999963</v>
      </c>
      <c r="G43">
        <f>G42-F42</f>
        <v>1497678</v>
      </c>
      <c r="H43">
        <f>H42-G42</f>
        <v>4444194</v>
      </c>
      <c r="I43" s="59">
        <f t="shared" si="8"/>
        <v>1794770</v>
      </c>
    </row>
    <row r="44" spans="1:10">
      <c r="A44" s="65" t="s">
        <v>194</v>
      </c>
      <c r="C44" s="59"/>
      <c r="D44" s="69">
        <v>0.2</v>
      </c>
      <c r="E44" s="70">
        <v>0.2</v>
      </c>
      <c r="F44" s="70">
        <v>0.2</v>
      </c>
      <c r="G44" s="69">
        <v>0.2</v>
      </c>
      <c r="H44" s="70">
        <v>0.2</v>
      </c>
      <c r="I44" s="70">
        <v>0.2</v>
      </c>
    </row>
    <row r="45" spans="1:10" ht="15" thickBot="1">
      <c r="A45" s="202"/>
      <c r="B45" s="90"/>
      <c r="C45" s="88"/>
      <c r="D45" s="202"/>
      <c r="E45" s="88"/>
      <c r="F45" s="88"/>
      <c r="G45" s="90"/>
      <c r="H45" s="88"/>
      <c r="I45" s="88"/>
    </row>
    <row r="47" spans="1:10">
      <c r="H47" s="277" t="s">
        <v>248</v>
      </c>
    </row>
    <row r="60" spans="1:9" ht="21">
      <c r="A60" s="73" t="s">
        <v>196</v>
      </c>
      <c r="B60" s="74"/>
      <c r="C60" s="75"/>
      <c r="D60" s="75"/>
      <c r="E60" s="74"/>
      <c r="F60" s="75"/>
      <c r="G60" s="74"/>
      <c r="H60" s="75"/>
      <c r="I60" s="75"/>
    </row>
    <row r="61" spans="1:9">
      <c r="A61" s="58" t="s">
        <v>197</v>
      </c>
      <c r="C61" s="57">
        <f>'trading '!C26</f>
        <v>2431200</v>
      </c>
      <c r="D61" s="57">
        <f>'trading '!D26</f>
        <v>2674320</v>
      </c>
      <c r="E61">
        <f>'trading '!E26</f>
        <v>2941752</v>
      </c>
      <c r="F61" s="59">
        <f>'trading '!F26</f>
        <v>3235927</v>
      </c>
      <c r="G61">
        <f>'trading '!G26</f>
        <v>3559520</v>
      </c>
      <c r="H61" s="59">
        <f>'trading '!H26</f>
        <v>3915472</v>
      </c>
      <c r="I61" s="59">
        <f>'trading '!I26</f>
        <v>4307019</v>
      </c>
    </row>
    <row r="62" spans="1:9">
      <c r="A62" s="58" t="s">
        <v>183</v>
      </c>
      <c r="C62" s="59">
        <f>'trading '!C28</f>
        <v>20622260</v>
      </c>
      <c r="D62" s="59">
        <f>'trading '!D28</f>
        <v>21989906</v>
      </c>
      <c r="E62">
        <f>'trading '!E28</f>
        <v>23099997</v>
      </c>
      <c r="F62" s="59">
        <f>'trading '!F28</f>
        <v>25713307</v>
      </c>
      <c r="G62">
        <f>'trading '!G28</f>
        <v>27011793</v>
      </c>
      <c r="H62" s="59">
        <f>'trading '!H28</f>
        <v>31316757</v>
      </c>
      <c r="I62" s="59">
        <f>'trading '!I28</f>
        <v>32898107</v>
      </c>
    </row>
    <row r="63" spans="1:9">
      <c r="A63" s="58" t="s">
        <v>198</v>
      </c>
      <c r="C63" s="61">
        <v>45</v>
      </c>
      <c r="D63" s="61">
        <v>45</v>
      </c>
      <c r="E63" s="62">
        <v>45</v>
      </c>
      <c r="F63" s="61">
        <v>45</v>
      </c>
      <c r="G63" s="62">
        <v>45</v>
      </c>
      <c r="H63" s="61">
        <v>45</v>
      </c>
      <c r="I63" s="61">
        <v>45</v>
      </c>
    </row>
    <row r="64" spans="1:9">
      <c r="A64" s="58"/>
      <c r="C64" s="59"/>
      <c r="D64" s="59"/>
      <c r="F64" s="59"/>
      <c r="H64" s="59"/>
      <c r="I64" s="59"/>
    </row>
    <row r="65" spans="1:14" ht="21">
      <c r="A65" s="56" t="s">
        <v>199</v>
      </c>
      <c r="C65" s="59"/>
      <c r="D65" s="59"/>
      <c r="F65" s="59"/>
      <c r="H65" s="59"/>
      <c r="I65" s="59"/>
    </row>
    <row r="66" spans="1:14">
      <c r="A66" s="58" t="s">
        <v>200</v>
      </c>
      <c r="C66" s="59"/>
      <c r="D66" s="59"/>
      <c r="F66" s="59"/>
      <c r="H66" s="59"/>
      <c r="I66" s="59"/>
    </row>
    <row r="67" spans="1:14">
      <c r="A67" s="58" t="s">
        <v>201</v>
      </c>
      <c r="C67" s="59">
        <f>bs!C34</f>
        <v>1432100</v>
      </c>
      <c r="D67" s="59">
        <f>bs!D34</f>
        <v>1575310</v>
      </c>
      <c r="E67">
        <f>bs!E34</f>
        <v>1732841</v>
      </c>
      <c r="F67" s="59">
        <f>bs!F34</f>
        <v>1906125</v>
      </c>
      <c r="G67">
        <f>bs!G34</f>
        <v>2096738</v>
      </c>
      <c r="H67" s="59">
        <f>bs!H34</f>
        <v>2306412</v>
      </c>
      <c r="I67" s="59">
        <f>bs!I34</f>
        <v>2537053</v>
      </c>
    </row>
    <row r="68" spans="1:14">
      <c r="A68" s="58" t="s">
        <v>197</v>
      </c>
      <c r="C68" s="59">
        <f t="shared" ref="C68:I68" si="9">C61</f>
        <v>2431200</v>
      </c>
      <c r="D68" s="59">
        <f t="shared" si="9"/>
        <v>2674320</v>
      </c>
      <c r="E68">
        <f t="shared" si="9"/>
        <v>2941752</v>
      </c>
      <c r="F68" s="59">
        <f t="shared" si="9"/>
        <v>3235927</v>
      </c>
      <c r="G68">
        <f t="shared" si="9"/>
        <v>3559520</v>
      </c>
      <c r="H68" s="59">
        <f t="shared" si="9"/>
        <v>3915472</v>
      </c>
      <c r="I68" s="59">
        <f t="shared" si="9"/>
        <v>4307019</v>
      </c>
    </row>
    <row r="69" spans="1:14">
      <c r="A69" s="58" t="s">
        <v>202</v>
      </c>
      <c r="C69" s="59">
        <f t="shared" ref="C69:I69" si="10">C15</f>
        <v>4485115</v>
      </c>
      <c r="D69" s="59">
        <f t="shared" si="10"/>
        <v>5059951</v>
      </c>
      <c r="E69">
        <f t="shared" si="10"/>
        <v>5729636</v>
      </c>
      <c r="F69" s="59">
        <f t="shared" si="10"/>
        <v>6302027</v>
      </c>
      <c r="G69">
        <f>G15</f>
        <v>7020417</v>
      </c>
      <c r="H69" s="59">
        <f t="shared" si="10"/>
        <v>7689234</v>
      </c>
      <c r="I69" s="59">
        <f t="shared" si="10"/>
        <v>8899820</v>
      </c>
    </row>
    <row r="70" spans="1:14">
      <c r="A70" s="58"/>
      <c r="C70" s="61">
        <f>C68+C69</f>
        <v>6916315</v>
      </c>
      <c r="D70" s="61">
        <f>D68+D69</f>
        <v>7734271</v>
      </c>
      <c r="E70" s="62">
        <f>E67+E68+E69</f>
        <v>10404229</v>
      </c>
      <c r="F70" s="61">
        <f>F67+F68+F69</f>
        <v>11444079</v>
      </c>
      <c r="G70" s="62">
        <f>G67+G68+G69</f>
        <v>12676675</v>
      </c>
      <c r="H70" s="61">
        <f>H67+H68+H69</f>
        <v>13911118</v>
      </c>
      <c r="I70" s="61">
        <f>I67+I68+I69</f>
        <v>15743892</v>
      </c>
    </row>
    <row r="71" spans="1:14" ht="15.5">
      <c r="A71" s="76" t="s">
        <v>203</v>
      </c>
      <c r="C71" s="59"/>
      <c r="D71" s="59"/>
      <c r="F71" s="59"/>
      <c r="H71" s="59"/>
      <c r="I71" s="59"/>
    </row>
    <row r="72" spans="1:14">
      <c r="A72" s="58" t="s">
        <v>204</v>
      </c>
      <c r="C72" s="59">
        <f>C18</f>
        <v>1312400</v>
      </c>
      <c r="D72" s="59">
        <f>D18</f>
        <v>1443640</v>
      </c>
      <c r="E72">
        <f>Ratio!E18</f>
        <v>1588004</v>
      </c>
      <c r="F72" s="59">
        <f t="shared" ref="F72:I73" si="11">F18</f>
        <v>2064405</v>
      </c>
      <c r="G72">
        <f t="shared" si="11"/>
        <v>2477286</v>
      </c>
      <c r="H72" s="59">
        <f t="shared" si="11"/>
        <v>2972743</v>
      </c>
      <c r="I72" s="59">
        <f t="shared" si="11"/>
        <v>3864566</v>
      </c>
    </row>
    <row r="73" spans="1:14">
      <c r="A73" s="58" t="s">
        <v>205</v>
      </c>
      <c r="C73" s="59">
        <f>C19</f>
        <v>4175305</v>
      </c>
      <c r="D73" s="59">
        <f>D19</f>
        <v>3516037</v>
      </c>
      <c r="E73" s="59">
        <f>E19</f>
        <v>2856769</v>
      </c>
      <c r="F73" s="59">
        <f t="shared" si="11"/>
        <v>2197501</v>
      </c>
      <c r="G73" s="59">
        <f t="shared" si="11"/>
        <v>1538233</v>
      </c>
      <c r="H73" s="59">
        <f t="shared" si="11"/>
        <v>878965</v>
      </c>
      <c r="I73" s="59">
        <f>I19</f>
        <v>219697</v>
      </c>
    </row>
    <row r="74" spans="1:14" ht="15.5">
      <c r="A74" s="58" t="s">
        <v>181</v>
      </c>
      <c r="C74" s="279">
        <f>bs!C20</f>
        <v>0</v>
      </c>
      <c r="D74" s="279">
        <f>bs!D20</f>
        <v>0</v>
      </c>
      <c r="E74" s="280">
        <f>bs!E20</f>
        <v>0</v>
      </c>
      <c r="F74" s="279">
        <f>bs!F20</f>
        <v>0</v>
      </c>
      <c r="G74" s="280">
        <f>bs!G20</f>
        <v>0</v>
      </c>
      <c r="H74" s="279">
        <f>bs!H20</f>
        <v>0</v>
      </c>
      <c r="I74" s="279">
        <f>bs!I20</f>
        <v>0</v>
      </c>
    </row>
    <row r="75" spans="1:14">
      <c r="A75" s="58"/>
      <c r="C75" s="281">
        <f t="shared" ref="C75:I75" si="12">C72+C73+C74</f>
        <v>5487705</v>
      </c>
      <c r="D75" s="281">
        <f t="shared" si="12"/>
        <v>4959677</v>
      </c>
      <c r="E75" s="282">
        <f t="shared" si="12"/>
        <v>4444773</v>
      </c>
      <c r="F75" s="281">
        <f t="shared" si="12"/>
        <v>4261906</v>
      </c>
      <c r="G75" s="282">
        <f t="shared" si="12"/>
        <v>4015519</v>
      </c>
      <c r="H75" s="281">
        <f t="shared" si="12"/>
        <v>3851708</v>
      </c>
      <c r="I75" s="281">
        <f t="shared" si="12"/>
        <v>4084263</v>
      </c>
    </row>
    <row r="76" spans="1:14">
      <c r="A76" s="58"/>
      <c r="C76" s="59"/>
      <c r="D76" s="59"/>
      <c r="F76" s="59"/>
      <c r="H76" s="59"/>
      <c r="I76" s="59"/>
    </row>
    <row r="77" spans="1:14">
      <c r="A77" s="65" t="s">
        <v>206</v>
      </c>
      <c r="B77" s="77"/>
      <c r="C77" s="78">
        <f t="shared" ref="C77:I77" si="13">C70-C75</f>
        <v>1428610</v>
      </c>
      <c r="D77" s="78">
        <f t="shared" si="13"/>
        <v>2774594</v>
      </c>
      <c r="E77" s="77">
        <f t="shared" si="13"/>
        <v>5959456</v>
      </c>
      <c r="F77" s="78">
        <f t="shared" si="13"/>
        <v>7182173</v>
      </c>
      <c r="G77" s="77">
        <f t="shared" si="13"/>
        <v>8661156</v>
      </c>
      <c r="H77" s="78">
        <f t="shared" si="13"/>
        <v>10059410</v>
      </c>
      <c r="I77" s="78">
        <f t="shared" si="13"/>
        <v>11659629</v>
      </c>
      <c r="J77" s="77"/>
      <c r="K77" s="77"/>
      <c r="L77" s="77"/>
      <c r="M77" s="77"/>
      <c r="N77" s="77"/>
    </row>
    <row r="78" spans="1:14">
      <c r="A78" s="79" t="s">
        <v>207</v>
      </c>
      <c r="B78" s="80"/>
      <c r="C78" s="81">
        <f t="shared" ref="C78:I78" si="14">C70/C75/100</f>
        <v>1.2603292268808181E-2</v>
      </c>
      <c r="D78" s="81">
        <f t="shared" si="14"/>
        <v>1.5594303822607802E-2</v>
      </c>
      <c r="E78" s="82">
        <f t="shared" si="14"/>
        <v>2.3407784829506478E-2</v>
      </c>
      <c r="F78" s="82">
        <f t="shared" si="14"/>
        <v>2.6852021137960338E-2</v>
      </c>
      <c r="G78" s="81">
        <f>G70/G75/100</f>
        <v>3.1569206869647488E-2</v>
      </c>
      <c r="H78" s="81">
        <f>H70/H75/100</f>
        <v>3.6116751321751288E-2</v>
      </c>
      <c r="I78" s="81">
        <f t="shared" si="14"/>
        <v>3.8547693916870684E-2</v>
      </c>
    </row>
    <row r="79" spans="1:14">
      <c r="A79" s="391"/>
      <c r="B79" s="361"/>
      <c r="C79" s="75"/>
      <c r="D79" s="74"/>
      <c r="E79" s="75"/>
      <c r="F79" s="74"/>
      <c r="G79" s="75"/>
      <c r="H79" s="74"/>
      <c r="I79" s="75"/>
    </row>
    <row r="86" spans="1:1" ht="15.5">
      <c r="A86" s="35" t="s">
        <v>304</v>
      </c>
    </row>
    <row r="87" spans="1:1">
      <c r="A87" s="49"/>
    </row>
    <row r="88" spans="1:1">
      <c r="A88" s="49"/>
    </row>
    <row r="100" spans="8:8">
      <c r="H100" s="277" t="s">
        <v>294</v>
      </c>
    </row>
  </sheetData>
  <mergeCells count="8">
    <mergeCell ref="A6:I6"/>
    <mergeCell ref="A7:I7"/>
    <mergeCell ref="A79:B79"/>
    <mergeCell ref="A8:B10"/>
    <mergeCell ref="A2:I2"/>
    <mergeCell ref="A3:I3"/>
    <mergeCell ref="A4:I4"/>
    <mergeCell ref="A5:I5"/>
  </mergeCells>
  <pageMargins left="0.7" right="0.7" top="0.75" bottom="0.75" header="0.3" footer="0.3"/>
  <pageSetup paperSize="9" scale="83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1"/>
  <sheetViews>
    <sheetView workbookViewId="0">
      <selection activeCell="M7" sqref="M7"/>
    </sheetView>
  </sheetViews>
  <sheetFormatPr defaultColWidth="9" defaultRowHeight="14.5"/>
  <cols>
    <col min="1" max="1" width="15.1796875" customWidth="1"/>
    <col min="2" max="2" width="11.1796875" customWidth="1"/>
    <col min="3" max="3" width="12.453125" customWidth="1"/>
    <col min="4" max="4" width="12.26953125" customWidth="1"/>
    <col min="5" max="5" width="15.26953125" customWidth="1"/>
    <col min="6" max="6" width="12.453125" customWidth="1"/>
    <col min="7" max="7" width="11.453125" bestFit="1" customWidth="1"/>
    <col min="8" max="8" width="9.81640625" bestFit="1" customWidth="1"/>
    <col min="9" max="10" width="9" style="232"/>
  </cols>
  <sheetData>
    <row r="2" spans="1:10" ht="21">
      <c r="A2" s="398" t="s">
        <v>302</v>
      </c>
      <c r="B2" s="398"/>
      <c r="C2" s="398"/>
      <c r="D2" s="398"/>
      <c r="E2" s="398"/>
      <c r="F2" s="398"/>
      <c r="G2" s="398"/>
      <c r="H2" s="398"/>
    </row>
    <row r="3" spans="1:10">
      <c r="A3" s="424" t="s">
        <v>323</v>
      </c>
      <c r="B3" s="374"/>
      <c r="C3" s="374"/>
      <c r="D3" s="374"/>
      <c r="E3" s="374"/>
      <c r="F3" s="374"/>
      <c r="G3" s="374"/>
      <c r="H3" s="374"/>
    </row>
    <row r="4" spans="1:10">
      <c r="A4" s="362" t="s">
        <v>325</v>
      </c>
      <c r="B4" s="399"/>
      <c r="C4" s="399"/>
      <c r="D4" s="399"/>
      <c r="E4" s="399"/>
      <c r="F4" s="399"/>
      <c r="G4" s="399"/>
      <c r="H4" s="399"/>
    </row>
    <row r="5" spans="1:10">
      <c r="A5" s="294"/>
      <c r="B5" s="294"/>
      <c r="C5" s="294"/>
      <c r="D5" s="294"/>
      <c r="E5" s="294"/>
      <c r="F5" s="294"/>
    </row>
    <row r="6" spans="1:10" ht="21">
      <c r="A6" s="297" t="s">
        <v>209</v>
      </c>
      <c r="B6" s="297"/>
      <c r="C6" s="297"/>
      <c r="D6" s="297"/>
      <c r="E6" s="297"/>
      <c r="F6" s="297"/>
      <c r="G6" s="297"/>
      <c r="H6" s="297"/>
    </row>
    <row r="7" spans="1:10" ht="15" thickBot="1"/>
    <row r="8" spans="1:10">
      <c r="A8" s="236" t="s">
        <v>210</v>
      </c>
      <c r="B8" s="237" t="s">
        <v>211</v>
      </c>
      <c r="C8" s="236" t="s">
        <v>212</v>
      </c>
      <c r="D8" s="237" t="s">
        <v>213</v>
      </c>
      <c r="E8" s="236" t="s">
        <v>214</v>
      </c>
      <c r="F8" s="236" t="s">
        <v>277</v>
      </c>
      <c r="G8" s="238" t="s">
        <v>286</v>
      </c>
      <c r="H8" s="238" t="s">
        <v>219</v>
      </c>
      <c r="J8" s="233"/>
    </row>
    <row r="9" spans="1:10" ht="15" thickBot="1">
      <c r="A9" s="239"/>
      <c r="B9" s="240"/>
      <c r="C9" s="239"/>
      <c r="D9" s="241"/>
      <c r="E9" s="239" t="s">
        <v>215</v>
      </c>
      <c r="F9" s="239">
        <v>4450000</v>
      </c>
      <c r="G9" s="242"/>
      <c r="H9" s="243">
        <v>0.09</v>
      </c>
      <c r="J9" s="234"/>
    </row>
    <row r="10" spans="1:10" ht="15" thickBot="1">
      <c r="A10" s="244" t="s">
        <v>278</v>
      </c>
      <c r="B10" s="245">
        <v>54939</v>
      </c>
      <c r="C10" s="246">
        <f>+B10*5</f>
        <v>274695</v>
      </c>
      <c r="D10" s="247">
        <f>ROUND(+F9*H10,0)</f>
        <v>400500</v>
      </c>
      <c r="E10" s="245">
        <f>D10</f>
        <v>400500</v>
      </c>
      <c r="F10" s="248">
        <f>ROUND(+F9-C10,0)</f>
        <v>4175305</v>
      </c>
      <c r="G10" s="257">
        <v>5</v>
      </c>
      <c r="H10" s="249">
        <v>0.09</v>
      </c>
      <c r="J10" s="234"/>
    </row>
    <row r="11" spans="1:10" ht="15" thickBot="1">
      <c r="A11" s="244" t="s">
        <v>279</v>
      </c>
      <c r="B11" s="250">
        <f>B10</f>
        <v>54939</v>
      </c>
      <c r="C11" s="246">
        <f>+B11*12</f>
        <v>659268</v>
      </c>
      <c r="D11" s="247">
        <f>ROUND(+F10*H11,0)</f>
        <v>375777</v>
      </c>
      <c r="E11" s="250">
        <f t="shared" ref="E11:E13" si="0">E10+D11</f>
        <v>776277</v>
      </c>
      <c r="F11" s="248">
        <f t="shared" ref="F11:F12" si="1">ROUND(+F10-C11,0)</f>
        <v>3516037</v>
      </c>
      <c r="G11" s="257">
        <v>12</v>
      </c>
      <c r="H11" s="249">
        <v>0.09</v>
      </c>
      <c r="J11" s="234"/>
    </row>
    <row r="12" spans="1:10" ht="15" thickBot="1">
      <c r="A12" s="244" t="s">
        <v>280</v>
      </c>
      <c r="B12" s="250">
        <f t="shared" ref="B12:B13" si="2">B11</f>
        <v>54939</v>
      </c>
      <c r="C12" s="246">
        <f>+B12*12</f>
        <v>659268</v>
      </c>
      <c r="D12" s="247">
        <f>ROUND(+F11*H12,0)</f>
        <v>316443</v>
      </c>
      <c r="E12" s="250">
        <f t="shared" si="0"/>
        <v>1092720</v>
      </c>
      <c r="F12" s="248">
        <f t="shared" si="1"/>
        <v>2856769</v>
      </c>
      <c r="G12" s="257">
        <v>12</v>
      </c>
      <c r="H12" s="249">
        <v>0.09</v>
      </c>
      <c r="J12" s="234"/>
    </row>
    <row r="13" spans="1:10" ht="15" thickBot="1">
      <c r="A13" s="244" t="s">
        <v>281</v>
      </c>
      <c r="B13" s="250">
        <f t="shared" si="2"/>
        <v>54939</v>
      </c>
      <c r="C13" s="246">
        <f t="shared" ref="C13" si="3">+B13*12</f>
        <v>659268</v>
      </c>
      <c r="D13" s="247">
        <f t="shared" ref="D13" si="4">ROUND(+F12*H13,0)</f>
        <v>257109</v>
      </c>
      <c r="E13" s="250">
        <f t="shared" si="0"/>
        <v>1349829</v>
      </c>
      <c r="F13" s="248">
        <f>ROUND(+F12-C13,0)</f>
        <v>2197501</v>
      </c>
      <c r="G13" s="257">
        <v>12</v>
      </c>
      <c r="H13" s="249">
        <v>0.09</v>
      </c>
      <c r="J13" s="234"/>
    </row>
    <row r="14" spans="1:10" ht="15" thickBot="1">
      <c r="A14" s="244" t="s">
        <v>282</v>
      </c>
      <c r="B14" s="250">
        <f>B13</f>
        <v>54939</v>
      </c>
      <c r="C14" s="246">
        <f>+B14*12</f>
        <v>659268</v>
      </c>
      <c r="D14" s="247">
        <f>ROUND(+F13*H14,0)</f>
        <v>197775</v>
      </c>
      <c r="E14" s="250">
        <f>E13+D14</f>
        <v>1547604</v>
      </c>
      <c r="F14" s="248">
        <f>ROUND(+F13-C14,0)</f>
        <v>1538233</v>
      </c>
      <c r="G14" s="257">
        <v>12</v>
      </c>
      <c r="H14" s="249">
        <v>0.09</v>
      </c>
      <c r="J14" s="234"/>
    </row>
    <row r="15" spans="1:10" ht="15" thickBot="1">
      <c r="A15" s="244" t="s">
        <v>283</v>
      </c>
      <c r="B15" s="250">
        <f>B14</f>
        <v>54939</v>
      </c>
      <c r="C15" s="246">
        <f>+B15*12</f>
        <v>659268</v>
      </c>
      <c r="D15" s="247">
        <f>ROUND(+F14*H15,0)</f>
        <v>138441</v>
      </c>
      <c r="E15" s="250">
        <f>E14+D15</f>
        <v>1686045</v>
      </c>
      <c r="F15" s="248">
        <f>ROUND(+F14-C15,0)</f>
        <v>878965</v>
      </c>
      <c r="G15" s="257">
        <v>12</v>
      </c>
      <c r="H15" s="249">
        <v>0.09</v>
      </c>
      <c r="J15" s="234"/>
    </row>
    <row r="16" spans="1:10" ht="15" thickBot="1">
      <c r="A16" s="251" t="s">
        <v>284</v>
      </c>
      <c r="B16" s="252">
        <f>B15</f>
        <v>54939</v>
      </c>
      <c r="C16" s="253">
        <f>+B16*12</f>
        <v>659268</v>
      </c>
      <c r="D16" s="254">
        <f>ROUND(+F15*H16,0)</f>
        <v>79107</v>
      </c>
      <c r="E16" s="252">
        <f>E15+D16</f>
        <v>1765152</v>
      </c>
      <c r="F16" s="255">
        <f>ROUND(+F15-C16,)</f>
        <v>219697</v>
      </c>
      <c r="G16" s="258">
        <v>12</v>
      </c>
      <c r="H16" s="256">
        <v>0.09</v>
      </c>
      <c r="J16" s="234"/>
    </row>
    <row r="17" spans="1:10" ht="15" thickBot="1">
      <c r="A17" s="251" t="s">
        <v>297</v>
      </c>
      <c r="B17" s="252">
        <f>B16</f>
        <v>54939</v>
      </c>
      <c r="C17" s="253">
        <f>+B17*4</f>
        <v>219756</v>
      </c>
      <c r="D17" s="254">
        <f>ROUND(+F16*H17,0)</f>
        <v>19773</v>
      </c>
      <c r="E17" s="252">
        <f>E16+D17</f>
        <v>1784925</v>
      </c>
      <c r="F17" s="255">
        <f>ROUND(+F16-C17,)+59</f>
        <v>0</v>
      </c>
      <c r="G17" s="258">
        <v>4</v>
      </c>
      <c r="H17" s="256">
        <v>0.09</v>
      </c>
      <c r="J17" s="234"/>
    </row>
    <row r="18" spans="1:10">
      <c r="A18" s="425" t="s">
        <v>329</v>
      </c>
      <c r="B18" s="387"/>
      <c r="C18" s="387"/>
      <c r="D18" s="387"/>
      <c r="E18" s="387"/>
      <c r="F18" s="387"/>
      <c r="G18" s="387"/>
    </row>
    <row r="20" spans="1:10">
      <c r="A20" s="46" t="s">
        <v>216</v>
      </c>
      <c r="B20" s="47">
        <v>4450000</v>
      </c>
      <c r="E20" s="46" t="s">
        <v>216</v>
      </c>
      <c r="F20" s="47">
        <v>0</v>
      </c>
    </row>
    <row r="21" spans="1:10">
      <c r="A21" s="46" t="s">
        <v>217</v>
      </c>
      <c r="B21" s="47" t="s">
        <v>327</v>
      </c>
      <c r="E21" s="46" t="s">
        <v>218</v>
      </c>
      <c r="F21" s="235" t="s">
        <v>285</v>
      </c>
    </row>
    <row r="22" spans="1:10">
      <c r="A22" s="46" t="s">
        <v>219</v>
      </c>
      <c r="B22" s="48">
        <v>0.09</v>
      </c>
      <c r="E22" s="46" t="s">
        <v>219</v>
      </c>
      <c r="F22" s="48">
        <v>0</v>
      </c>
    </row>
    <row r="23" spans="1:10">
      <c r="A23" s="46" t="s">
        <v>211</v>
      </c>
      <c r="B23" s="47" t="s">
        <v>328</v>
      </c>
      <c r="E23" s="259" t="s">
        <v>288</v>
      </c>
      <c r="F23" s="47">
        <f>F20*F22</f>
        <v>0</v>
      </c>
    </row>
    <row r="27" spans="1:10" ht="15.5">
      <c r="A27" s="35" t="s">
        <v>304</v>
      </c>
    </row>
    <row r="28" spans="1:10">
      <c r="A28" s="49"/>
    </row>
    <row r="29" spans="1:10">
      <c r="A29" s="49"/>
    </row>
    <row r="31" spans="1:10">
      <c r="F31" s="277" t="s">
        <v>295</v>
      </c>
    </row>
  </sheetData>
  <mergeCells count="6">
    <mergeCell ref="A18:G18"/>
    <mergeCell ref="A5:F5"/>
    <mergeCell ref="A2:H2"/>
    <mergeCell ref="A3:H3"/>
    <mergeCell ref="A4:H4"/>
    <mergeCell ref="A6:H6"/>
  </mergeCells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8"/>
  <sheetViews>
    <sheetView zoomScale="85" zoomScaleNormal="85" workbookViewId="0">
      <selection activeCell="A3" sqref="A3:H3"/>
    </sheetView>
  </sheetViews>
  <sheetFormatPr defaultColWidth="9" defaultRowHeight="14.5"/>
  <cols>
    <col min="3" max="3" width="14.7265625" customWidth="1"/>
    <col min="10" max="10" width="10" customWidth="1"/>
  </cols>
  <sheetData>
    <row r="2" spans="1:16" ht="18.5">
      <c r="A2" s="293" t="s">
        <v>302</v>
      </c>
      <c r="B2" s="293"/>
      <c r="C2" s="293"/>
      <c r="D2" s="293"/>
      <c r="E2" s="293"/>
      <c r="F2" s="293"/>
      <c r="G2" s="293"/>
      <c r="H2" s="293"/>
    </row>
    <row r="3" spans="1:16">
      <c r="A3" s="424" t="s">
        <v>323</v>
      </c>
      <c r="B3" s="374"/>
      <c r="C3" s="374"/>
      <c r="D3" s="374"/>
      <c r="E3" s="374"/>
      <c r="F3" s="374"/>
      <c r="G3" s="374"/>
      <c r="H3" s="374"/>
    </row>
    <row r="4" spans="1:16">
      <c r="A4" s="362" t="s">
        <v>325</v>
      </c>
      <c r="B4" s="294"/>
      <c r="C4" s="294"/>
      <c r="D4" s="294"/>
      <c r="E4" s="294"/>
      <c r="F4" s="294"/>
      <c r="G4" s="294"/>
      <c r="H4" s="294"/>
    </row>
    <row r="6" spans="1:16" ht="15.5">
      <c r="A6" s="400" t="s">
        <v>221</v>
      </c>
      <c r="B6" s="400"/>
      <c r="C6" s="400"/>
      <c r="D6" s="400"/>
      <c r="E6" s="400"/>
      <c r="F6" s="400"/>
      <c r="G6" s="400"/>
      <c r="H6" s="400"/>
    </row>
    <row r="7" spans="1:16" ht="15.5">
      <c r="A7" s="401" t="s">
        <v>222</v>
      </c>
      <c r="B7" s="402"/>
      <c r="C7" s="403"/>
      <c r="D7" s="3">
        <v>2026</v>
      </c>
      <c r="E7" s="2">
        <v>2027</v>
      </c>
      <c r="F7" s="3">
        <v>2028</v>
      </c>
      <c r="G7" s="2">
        <v>2029</v>
      </c>
      <c r="H7" s="3">
        <v>2030</v>
      </c>
    </row>
    <row r="8" spans="1:16">
      <c r="A8" s="404" t="s">
        <v>187</v>
      </c>
      <c r="B8" s="405"/>
      <c r="C8" s="406"/>
      <c r="D8" s="4">
        <f>Ratio!D34</f>
        <v>0.15382757094757107</v>
      </c>
      <c r="E8" s="5">
        <f>Ratio!E34</f>
        <v>0.15343926338212063</v>
      </c>
      <c r="F8" s="6">
        <f>Ratio!F34</f>
        <v>0.14156050171822729</v>
      </c>
      <c r="G8" s="5">
        <f>Ratio!G34</f>
        <v>0.14115288486069733</v>
      </c>
      <c r="H8" s="7">
        <f>Ratio!H34</f>
        <v>0.12755558383524049</v>
      </c>
    </row>
    <row r="9" spans="1:16">
      <c r="A9" s="407" t="s">
        <v>190</v>
      </c>
      <c r="B9" s="376"/>
      <c r="C9" s="408"/>
      <c r="D9" s="8">
        <f>Ratio!D39</f>
        <v>2.788125060125074E-2</v>
      </c>
      <c r="E9" s="9">
        <f>Ratio!E39</f>
        <v>3.6558675187246745E-2</v>
      </c>
      <c r="F9" s="10">
        <f>Ratio!F39</f>
        <v>3.3199408176915017E-2</v>
      </c>
      <c r="G9" s="9">
        <f>Ratio!G39</f>
        <v>3.8631851021124014E-2</v>
      </c>
      <c r="H9" s="11">
        <f>Ratio!H39</f>
        <v>3.530963199815642E-2</v>
      </c>
    </row>
    <row r="10" spans="1:16">
      <c r="A10" s="407" t="s">
        <v>223</v>
      </c>
      <c r="B10" s="376"/>
      <c r="C10" s="408"/>
      <c r="D10" s="8">
        <v>4.7100000000000003E-2</v>
      </c>
      <c r="E10" s="9">
        <v>4.3999999999999997E-2</v>
      </c>
      <c r="F10" s="10">
        <v>4.0800000000000003E-2</v>
      </c>
      <c r="G10" s="9">
        <v>4.07E-2</v>
      </c>
      <c r="H10" s="11">
        <v>4.0599999999999997E-2</v>
      </c>
      <c r="L10">
        <f>('trading '!D30-pnl!D28)/'trading '!D13*100</f>
        <v>2.7881250601250738</v>
      </c>
      <c r="M10">
        <f>('trading '!E30-pnl!E28)/'trading '!E13*100</f>
        <v>3.6558675187246745</v>
      </c>
      <c r="N10">
        <f>('trading '!F30-pnl!F28)/'trading '!F13*100</f>
        <v>3.3199408176915015</v>
      </c>
      <c r="O10">
        <f>('trading '!G30-pnl!G28)/'trading '!G13*100</f>
        <v>3.8631851021124013</v>
      </c>
      <c r="P10">
        <f>('trading '!H30-pnl!H28)/'trading '!H13*100</f>
        <v>3.7541114579025101</v>
      </c>
    </row>
    <row r="11" spans="1:16">
      <c r="A11" s="407" t="s">
        <v>224</v>
      </c>
      <c r="B11" s="376"/>
      <c r="C11" s="408"/>
      <c r="D11" s="12">
        <v>0.95279999999999998</v>
      </c>
      <c r="E11" s="13">
        <v>0.95599999999999996</v>
      </c>
      <c r="F11" s="14">
        <v>0.95909999999999995</v>
      </c>
      <c r="G11" s="13">
        <v>0.95920000000000005</v>
      </c>
      <c r="H11" s="15">
        <v>0.95930000000000004</v>
      </c>
      <c r="L11">
        <f>('trading '!D28+pnl!D28)/'trading '!D13*100</f>
        <v>97.211874939874917</v>
      </c>
      <c r="M11">
        <f>('trading '!E28+pnl!E28)/'trading '!E13*100</f>
        <v>96.344132481275324</v>
      </c>
      <c r="N11">
        <f>('trading '!F28+pnl!F28)/'trading '!F13*100</f>
        <v>96.680059182308497</v>
      </c>
      <c r="O11">
        <f>('trading '!G28+pnl!G28)/'trading '!G13*100</f>
        <v>96.136814897887604</v>
      </c>
      <c r="P11">
        <f>('trading '!H28+pnl!H28)/'trading '!H13*100</f>
        <v>96.245888542097489</v>
      </c>
    </row>
    <row r="12" spans="1:16" ht="15.5">
      <c r="A12" s="409" t="s">
        <v>225</v>
      </c>
      <c r="B12" s="410"/>
      <c r="C12" s="411"/>
      <c r="D12" s="16"/>
      <c r="E12" s="17"/>
      <c r="G12" s="17"/>
      <c r="H12" s="18"/>
    </row>
    <row r="13" spans="1:16">
      <c r="A13" s="407" t="s">
        <v>226</v>
      </c>
      <c r="B13" s="376"/>
      <c r="C13" s="408"/>
      <c r="D13" s="8">
        <v>0.95530000000000004</v>
      </c>
      <c r="E13" s="9">
        <v>0.90980000000000005</v>
      </c>
      <c r="F13" s="10">
        <v>0.91639999999999999</v>
      </c>
      <c r="G13" s="9">
        <v>0.91959999999999997</v>
      </c>
      <c r="H13" s="11">
        <v>0.9224</v>
      </c>
      <c r="L13">
        <f>'trading '!D18/'trading '!D13*100</f>
        <v>83.801827801827784</v>
      </c>
      <c r="M13">
        <f>'trading '!E18/'trading '!E13*100</f>
        <v>83.801827801827784</v>
      </c>
      <c r="N13">
        <f>'trading '!F18/'trading '!F13*100</f>
        <v>84.987934316691579</v>
      </c>
      <c r="O13">
        <f>'trading '!G18/'trading '!G13*100</f>
        <v>84.987932425141864</v>
      </c>
      <c r="P13">
        <f>'trading '!H18/'trading '!H13*100</f>
        <v>86.380116816023701</v>
      </c>
    </row>
    <row r="14" spans="1:16">
      <c r="A14" s="407" t="s">
        <v>227</v>
      </c>
      <c r="B14" s="376"/>
      <c r="C14" s="408"/>
      <c r="D14" s="8">
        <v>1.6000000000000001E-4</v>
      </c>
      <c r="E14" s="9">
        <v>1.3999999999999999E-4</v>
      </c>
      <c r="F14" s="10">
        <v>1E-4</v>
      </c>
      <c r="G14" s="9">
        <v>0.01</v>
      </c>
      <c r="H14" s="11">
        <v>1E-4</v>
      </c>
      <c r="L14">
        <f>'trading '!D21/'trading '!D13*100</f>
        <v>0.17934391534391533</v>
      </c>
      <c r="M14">
        <f>'trading '!E21/'trading '!E13*100</f>
        <v>0.18788520121853453</v>
      </c>
      <c r="N14">
        <f>'trading '!F21/'trading '!F13*100</f>
        <v>0.18827487069477516</v>
      </c>
      <c r="O14">
        <f>'trading '!G21/'trading '!G13*100</f>
        <v>0.19724192610119082</v>
      </c>
      <c r="P14">
        <f>'trading '!H21/'trading '!H13*100</f>
        <v>0.190105043490509</v>
      </c>
    </row>
    <row r="15" spans="1:16">
      <c r="A15" s="407" t="s">
        <v>228</v>
      </c>
      <c r="B15" s="376"/>
      <c r="C15" s="408"/>
      <c r="D15" s="8">
        <v>1.12E-2</v>
      </c>
      <c r="E15" s="9">
        <v>1.12E-2</v>
      </c>
      <c r="F15" s="10">
        <v>1.12E-2</v>
      </c>
      <c r="G15" s="9">
        <v>1.12E-2</v>
      </c>
      <c r="H15" s="11">
        <v>1.12E-2</v>
      </c>
      <c r="L15">
        <f>'trading '!D23/'trading '!D13*100</f>
        <v>1.4391534391534389</v>
      </c>
      <c r="M15">
        <f>'trading '!E23/'trading '!E13*100</f>
        <v>1.5076845553036027</v>
      </c>
      <c r="N15">
        <f>'trading '!F23/'trading '!F13*100</f>
        <v>1.510806099551619</v>
      </c>
      <c r="O15">
        <f>'trading '!G23/'trading '!G13*100</f>
        <v>1.5827492119225632</v>
      </c>
      <c r="P15">
        <f>'trading '!H23/'trading '!H13*100</f>
        <v>1.5254676794681705</v>
      </c>
    </row>
    <row r="16" spans="1:16">
      <c r="A16" s="407" t="s">
        <v>229</v>
      </c>
      <c r="B16" s="376"/>
      <c r="C16" s="408"/>
      <c r="D16" s="8">
        <v>4.8999999999999998E-3</v>
      </c>
      <c r="E16" s="9">
        <v>4.7000000000000002E-3</v>
      </c>
      <c r="F16" s="10">
        <v>4.4999999999999997E-3</v>
      </c>
      <c r="G16" s="9">
        <v>4.1999999999999997E-3</v>
      </c>
      <c r="H16" s="11">
        <v>3.8E-3</v>
      </c>
      <c r="L16">
        <f>pnl!D19/'trading '!D13*100</f>
        <v>0.59779894179894166</v>
      </c>
      <c r="M16">
        <f>pnl!E19/'trading '!E13*100</f>
        <v>0.62626445864541092</v>
      </c>
      <c r="N16">
        <f>pnl!F19/'trading '!F13*100</f>
        <v>0.62756175846425655</v>
      </c>
      <c r="O16">
        <f>pnl!G19/'trading '!G13*100</f>
        <v>0.6574465909498467</v>
      </c>
      <c r="P16">
        <f>pnl!H19/'trading '!H13*100</f>
        <v>0.6336546909691928</v>
      </c>
    </row>
    <row r="17" spans="1:22">
      <c r="A17" s="412" t="s">
        <v>230</v>
      </c>
      <c r="B17" s="413"/>
      <c r="C17" s="414"/>
      <c r="D17" s="19"/>
      <c r="E17" s="20"/>
      <c r="F17" s="21"/>
      <c r="G17" s="20"/>
      <c r="H17" s="22"/>
    </row>
    <row r="19" spans="1:22" ht="15.5">
      <c r="A19" s="400" t="s">
        <v>231</v>
      </c>
      <c r="B19" s="400"/>
      <c r="C19" s="400"/>
      <c r="D19" s="400"/>
      <c r="E19" s="400"/>
      <c r="F19" s="400"/>
      <c r="G19" s="400"/>
      <c r="H19" s="400"/>
    </row>
    <row r="20" spans="1:22">
      <c r="A20" s="415" t="s">
        <v>231</v>
      </c>
      <c r="B20" s="416"/>
      <c r="C20" s="417"/>
      <c r="D20" s="23">
        <v>2026</v>
      </c>
      <c r="E20" s="26">
        <v>2027</v>
      </c>
      <c r="F20" s="24">
        <v>2028</v>
      </c>
      <c r="G20" s="26">
        <v>2029</v>
      </c>
      <c r="H20" s="25">
        <v>2030</v>
      </c>
    </row>
    <row r="21" spans="1:22">
      <c r="A21" s="418" t="s">
        <v>232</v>
      </c>
      <c r="B21" s="419"/>
      <c r="C21" s="420"/>
      <c r="D21" s="27">
        <v>0.05</v>
      </c>
      <c r="E21" s="28">
        <v>0.05</v>
      </c>
      <c r="F21" s="29">
        <v>4.4999999999999998E-2</v>
      </c>
      <c r="G21" s="28">
        <v>0.05</v>
      </c>
      <c r="H21" s="30">
        <v>0.05</v>
      </c>
      <c r="L21">
        <f>pnl!D30/(pnl!D28+'trading '!D28)*100</f>
        <v>2.8680910247328488</v>
      </c>
      <c r="M21">
        <f>pnl!E30/(pnl!E28+'trading '!E28)*100</f>
        <v>3.7945928045334782</v>
      </c>
      <c r="N21">
        <f>pnl!F30/(pnl!F28+'trading '!F28)*100</f>
        <v>3.4339457854810851</v>
      </c>
      <c r="O21">
        <f>pnl!G30/(pnl!G28+'trading '!G28)*100</f>
        <v>4.0184242698447106</v>
      </c>
      <c r="P21">
        <f>pnl!H30/(pnl!H28+'trading '!H28)*100</f>
        <v>3.9005421579753818</v>
      </c>
    </row>
    <row r="22" spans="1:22">
      <c r="A22" s="376"/>
      <c r="B22" s="376"/>
      <c r="C22" s="376"/>
    </row>
    <row r="24" spans="1:22" ht="15.5">
      <c r="A24" s="400" t="s">
        <v>233</v>
      </c>
      <c r="B24" s="400"/>
      <c r="C24" s="400"/>
      <c r="D24" s="400"/>
      <c r="E24" s="400"/>
      <c r="F24" s="400"/>
      <c r="G24" s="400"/>
      <c r="H24" s="400"/>
    </row>
    <row r="25" spans="1:22">
      <c r="A25" s="357" t="s">
        <v>233</v>
      </c>
      <c r="B25" s="358"/>
      <c r="C25" s="359"/>
      <c r="D25" s="23">
        <v>2026</v>
      </c>
      <c r="E25" s="26">
        <v>2027</v>
      </c>
      <c r="F25" s="24">
        <v>2028</v>
      </c>
      <c r="G25" s="26">
        <v>2029</v>
      </c>
      <c r="H25" s="25">
        <v>2030</v>
      </c>
    </row>
    <row r="26" spans="1:22">
      <c r="A26" s="404" t="s">
        <v>234</v>
      </c>
      <c r="B26" s="405"/>
      <c r="C26" s="406"/>
      <c r="D26" s="16"/>
      <c r="E26" s="17"/>
      <c r="G26" s="17"/>
      <c r="H26" s="18"/>
    </row>
    <row r="27" spans="1:22">
      <c r="A27" s="407" t="s">
        <v>235</v>
      </c>
      <c r="B27" s="376"/>
      <c r="C27" s="408"/>
      <c r="D27" s="8">
        <v>0.87419999999999998</v>
      </c>
      <c r="E27" s="9">
        <v>1.234</v>
      </c>
      <c r="F27" s="31">
        <v>1.742</v>
      </c>
      <c r="G27" s="32">
        <v>2.4590000000000001</v>
      </c>
      <c r="H27" s="11">
        <v>3.472</v>
      </c>
      <c r="L27">
        <f>Ratio!D26/Ratio!D13</f>
        <v>4.3483462479983812</v>
      </c>
      <c r="M27">
        <f>Ratio!E26/Ratio!E13</f>
        <v>5.3714870703400912</v>
      </c>
      <c r="N27">
        <f>Ratio!F26/Ratio!F13</f>
        <v>6.93697341983105</v>
      </c>
      <c r="O27">
        <f>Ratio!G26/Ratio!G13</f>
        <v>8.5692040513728998</v>
      </c>
      <c r="P27">
        <f>Ratio!H26/Ratio!H13</f>
        <v>11.505963189680623</v>
      </c>
    </row>
    <row r="28" spans="1:22">
      <c r="A28" s="407" t="s">
        <v>236</v>
      </c>
      <c r="B28" s="376"/>
      <c r="C28" s="408"/>
      <c r="D28" s="33">
        <v>0.14879999999999999</v>
      </c>
      <c r="E28" s="32">
        <v>0.25890000000000002</v>
      </c>
      <c r="F28" s="10">
        <v>0.35499999999999998</v>
      </c>
      <c r="G28" s="32">
        <v>0.49030000000000001</v>
      </c>
      <c r="H28" s="11">
        <v>0.68179999999999996</v>
      </c>
      <c r="L28">
        <f>(Ratio!D70-Ratio!D75)/Ratio!D13</f>
        <v>0.46425763961977173</v>
      </c>
      <c r="M28">
        <f>(Ratio!E70-Ratio!E75)/Ratio!E13</f>
        <v>1.1731332682932976</v>
      </c>
      <c r="N28">
        <f>(Ratio!F70-Ratio!F75)/Ratio!F13</f>
        <v>1.6633270464080689</v>
      </c>
      <c r="O28">
        <f>(Ratio!G70-Ratio!G75)/Ratio!G13</f>
        <v>2.359819544217824</v>
      </c>
      <c r="P28">
        <f>(Ratio!H70-Ratio!H75)/Ratio!H13</f>
        <v>3.2244561456257497</v>
      </c>
    </row>
    <row r="29" spans="1:22">
      <c r="A29" s="407" t="s">
        <v>237</v>
      </c>
      <c r="B29" s="376"/>
      <c r="C29" s="408"/>
      <c r="D29" s="8">
        <v>8.8300000000000003E-2</v>
      </c>
      <c r="E29" s="9">
        <v>8.1000000000000003E-2</v>
      </c>
      <c r="F29" s="10">
        <v>9.3299999999999994E-2</v>
      </c>
      <c r="G29" s="9">
        <v>0.107</v>
      </c>
      <c r="H29" s="11">
        <v>0.12280000000000001</v>
      </c>
      <c r="L29">
        <f>'trading '!D28/'all ratio'!R29</f>
        <v>8.6141689778905963</v>
      </c>
      <c r="M29">
        <f>'trading '!E28/'all ratio'!S29</f>
        <v>8.2263891915915615</v>
      </c>
      <c r="N29">
        <f>'trading '!F28/'all ratio'!T29</f>
        <v>8.3245850100013286</v>
      </c>
      <c r="O29">
        <f>'trading '!G28/'all ratio'!U29</f>
        <v>7.949967971201894</v>
      </c>
      <c r="P29">
        <f>'trading '!H28/'all ratio'!V29</f>
        <v>8.3790743856314496</v>
      </c>
      <c r="R29">
        <f>('trading '!D16+'trading '!D26)/2</f>
        <v>2552760</v>
      </c>
      <c r="S29">
        <f>('trading '!E16+'trading '!E26)/2</f>
        <v>2808036</v>
      </c>
      <c r="T29">
        <f>('trading '!F16+'trading '!F26)/2</f>
        <v>3088839.5</v>
      </c>
      <c r="U29">
        <f>('trading '!G16+'trading '!G26)/2</f>
        <v>3397723.5</v>
      </c>
      <c r="V29">
        <f>('trading '!H16+'trading '!H26)/2</f>
        <v>3737496</v>
      </c>
    </row>
    <row r="30" spans="1:22">
      <c r="A30" s="407" t="s">
        <v>238</v>
      </c>
      <c r="B30" s="376"/>
      <c r="C30" s="408"/>
      <c r="D30" s="8">
        <v>0.2233</v>
      </c>
      <c r="E30" s="9">
        <v>0.21440000000000001</v>
      </c>
      <c r="F30" s="10">
        <v>0.20580000000000001</v>
      </c>
      <c r="G30" s="9">
        <v>0.1976</v>
      </c>
      <c r="H30" s="11">
        <v>0.18970000000000001</v>
      </c>
      <c r="L30">
        <f>'trading '!D13/bs!D34</f>
        <v>16.496753020040501</v>
      </c>
      <c r="M30">
        <f>'trading '!E13/bs!E34</f>
        <v>15.746900610038661</v>
      </c>
      <c r="N30">
        <f>'trading '!F13/bs!F34</f>
        <v>15.71436605679061</v>
      </c>
      <c r="O30">
        <f>'trading '!G13/bs!G34</f>
        <v>15.000073447421661</v>
      </c>
      <c r="P30">
        <f>'trading '!H13/bs!H34</f>
        <v>15.56331566086198</v>
      </c>
    </row>
    <row r="31" spans="1:22">
      <c r="A31" s="412" t="s">
        <v>239</v>
      </c>
      <c r="B31" s="413"/>
      <c r="C31" s="414"/>
      <c r="D31" s="12">
        <v>0.49280000000000002</v>
      </c>
      <c r="E31" s="13">
        <v>0.56320000000000003</v>
      </c>
      <c r="F31" s="14">
        <v>0.64359999999999995</v>
      </c>
      <c r="G31" s="13">
        <v>0.73560000000000003</v>
      </c>
      <c r="H31" s="15">
        <v>0.8407</v>
      </c>
      <c r="L31">
        <f>'trading '!D13/bs!D21</f>
        <v>18.001371533069189</v>
      </c>
      <c r="M31">
        <f>'trading '!E13/bs!E21</f>
        <v>17.183127372475134</v>
      </c>
      <c r="N31">
        <f>'trading '!F13/bs!F21</f>
        <v>14.509529864537239</v>
      </c>
      <c r="O31">
        <f>'trading '!G13/bs!G21</f>
        <v>12.695838914037378</v>
      </c>
      <c r="P31">
        <f>'trading '!H13/bs!H21</f>
        <v>12.074847371602591</v>
      </c>
    </row>
    <row r="33" spans="1:16" ht="15.5">
      <c r="A33" s="400" t="s">
        <v>240</v>
      </c>
      <c r="B33" s="400"/>
      <c r="C33" s="400"/>
      <c r="D33" s="400"/>
      <c r="E33" s="400"/>
      <c r="F33" s="400"/>
      <c r="G33" s="400"/>
      <c r="H33" s="400"/>
    </row>
    <row r="34" spans="1:16">
      <c r="A34" s="415" t="s">
        <v>240</v>
      </c>
      <c r="B34" s="416"/>
      <c r="C34" s="417"/>
      <c r="D34" s="23">
        <v>2026</v>
      </c>
      <c r="E34" s="26">
        <v>2027</v>
      </c>
      <c r="F34" s="24">
        <v>2028</v>
      </c>
      <c r="G34" s="26">
        <v>2029</v>
      </c>
      <c r="H34" s="25">
        <v>2030</v>
      </c>
    </row>
    <row r="35" spans="1:16">
      <c r="A35" s="404" t="s">
        <v>207</v>
      </c>
      <c r="B35" s="405"/>
      <c r="C35" s="406"/>
      <c r="D35" s="8">
        <f>Ratio!D78</f>
        <v>1.5594303822607802E-2</v>
      </c>
      <c r="E35" s="32">
        <f>Ratio!E78</f>
        <v>2.3407784829506478E-2</v>
      </c>
      <c r="F35" s="31">
        <f>Ratio!F78</f>
        <v>2.6852021137960338E-2</v>
      </c>
      <c r="G35" s="9">
        <f>Ratio!G78</f>
        <v>3.1569206869647488E-2</v>
      </c>
      <c r="H35" s="11">
        <f>Ratio!H78</f>
        <v>3.6116751321751288E-2</v>
      </c>
    </row>
    <row r="36" spans="1:16">
      <c r="A36" s="412" t="s">
        <v>241</v>
      </c>
      <c r="B36" s="413"/>
      <c r="C36" s="414"/>
      <c r="D36" s="12">
        <v>1.17E-2</v>
      </c>
      <c r="E36" s="13">
        <v>1.52E-2</v>
      </c>
      <c r="F36" s="14">
        <v>1.67E-2</v>
      </c>
      <c r="G36" s="13">
        <v>1.7999999999999999E-2</v>
      </c>
      <c r="H36" s="15">
        <v>2.1100000000000001E-2</v>
      </c>
      <c r="L36">
        <f>(Ratio!D70-Ratio!D68)/Ratio!D75</f>
        <v>1.0202178488639482</v>
      </c>
      <c r="M36">
        <f>(Ratio!E70-Ratio!E68)/Ratio!E75</f>
        <v>1.678933209862461</v>
      </c>
      <c r="N36">
        <f>(Ratio!F70-Ratio!F68)/Ratio!F75</f>
        <v>1.9259345466558859</v>
      </c>
      <c r="O36">
        <f>(Ratio!G70-Ratio!G68)/Ratio!G75</f>
        <v>2.2704798557795391</v>
      </c>
      <c r="P36">
        <f>(Ratio!H70-Ratio!H68)/Ratio!H75</f>
        <v>2.5951203985348839</v>
      </c>
    </row>
    <row r="38" spans="1:16" ht="15.5">
      <c r="A38" s="400" t="s">
        <v>242</v>
      </c>
      <c r="B38" s="400"/>
      <c r="C38" s="400"/>
      <c r="D38" s="400"/>
      <c r="E38" s="400"/>
      <c r="F38" s="400"/>
      <c r="G38" s="400"/>
      <c r="H38" s="400"/>
    </row>
    <row r="39" spans="1:16">
      <c r="A39" s="415" t="s">
        <v>242</v>
      </c>
      <c r="B39" s="416"/>
      <c r="C39" s="417"/>
      <c r="D39" s="23">
        <v>2026</v>
      </c>
      <c r="E39" s="26">
        <v>2027</v>
      </c>
      <c r="F39" s="24">
        <v>2028</v>
      </c>
      <c r="G39" s="26">
        <v>2029</v>
      </c>
      <c r="H39" s="25">
        <v>2030</v>
      </c>
    </row>
    <row r="40" spans="1:16">
      <c r="A40" s="404" t="s">
        <v>243</v>
      </c>
      <c r="B40" s="405"/>
      <c r="C40" s="406"/>
      <c r="D40" s="8">
        <v>6.3299999999999995E-2</v>
      </c>
      <c r="E40" s="9">
        <v>3.7999999999999999E-2</v>
      </c>
      <c r="F40" s="10">
        <v>2.8000000000000001E-2</v>
      </c>
      <c r="G40" s="9">
        <v>2.1600000000000001E-2</v>
      </c>
      <c r="H40" s="11">
        <v>1.67E-2</v>
      </c>
      <c r="L40">
        <f>bs!D18/bs!D11</f>
        <v>0</v>
      </c>
      <c r="M40">
        <f>bs!E18/bs!E11</f>
        <v>0</v>
      </c>
      <c r="N40">
        <f>bs!F18/bs!F11</f>
        <v>0</v>
      </c>
      <c r="O40">
        <f>bs!G18/bs!G11</f>
        <v>0</v>
      </c>
      <c r="P40">
        <f>bs!H18/bs!H11</f>
        <v>0</v>
      </c>
    </row>
    <row r="41" spans="1:16">
      <c r="A41" s="407" t="s">
        <v>244</v>
      </c>
      <c r="B41" s="376"/>
      <c r="C41" s="408"/>
      <c r="D41" s="33">
        <v>9.1999999999999998E-3</v>
      </c>
      <c r="E41" s="32">
        <v>1.1599999999999999E-2</v>
      </c>
      <c r="F41" s="31">
        <v>1.43E-2</v>
      </c>
      <c r="G41" s="32">
        <v>1.9199999999999998E-2</v>
      </c>
      <c r="H41" s="34">
        <v>2.5000000000000001E-2</v>
      </c>
      <c r="L41">
        <f>(pnl!D30-pnl!D20-pnl!D25)/pnl!D20</f>
        <v>-1.4574441756680059</v>
      </c>
      <c r="M41">
        <f>(pnl!E30-pnl!E20-pnl!E25)/pnl!E20</f>
        <v>-0.25553733215775437</v>
      </c>
      <c r="N41">
        <f>(pnl!F30-pnl!F20-pnl!F25)/pnl!F20</f>
        <v>0.34863812624217744</v>
      </c>
      <c r="O41">
        <f>(pnl!G30-pnl!G20-pnl!G25)/pnl!G20</f>
        <v>2.3597775249652382</v>
      </c>
      <c r="P41">
        <f>(pnl!H30-pnl!H20-pnl!H25)/pnl!H20</f>
        <v>5.3535802255112284</v>
      </c>
    </row>
    <row r="42" spans="1:16">
      <c r="A42" s="407" t="s">
        <v>245</v>
      </c>
      <c r="B42" s="376"/>
      <c r="C42" s="408"/>
      <c r="D42" s="8">
        <v>8.0000000000000002E-3</v>
      </c>
      <c r="E42" s="9">
        <v>7.4999999999999997E-3</v>
      </c>
      <c r="F42" s="10">
        <v>7.0000000000000001E-3</v>
      </c>
      <c r="G42" s="9">
        <v>6.4000000000000003E-3</v>
      </c>
      <c r="H42" s="11">
        <v>5.8999999999999999E-3</v>
      </c>
      <c r="L42">
        <f>Ratio!D21/Ratio!D16</f>
        <v>0.43750168153607671</v>
      </c>
      <c r="M42">
        <f>Ratio!E21/Ratio!E16</f>
        <v>0.39793541102336488</v>
      </c>
      <c r="N42">
        <f>Ratio!F21/Ratio!F16</f>
        <v>0.37714700668579049</v>
      </c>
      <c r="O42">
        <f>Ratio!G21/Ratio!G16</f>
        <v>0.34770188369450833</v>
      </c>
      <c r="P42">
        <f>Ratio!H21/Ratio!H16</f>
        <v>0.32409862702019543</v>
      </c>
    </row>
    <row r="43" spans="1:16">
      <c r="A43" s="407" t="s">
        <v>246</v>
      </c>
      <c r="B43" s="376"/>
      <c r="C43" s="408"/>
      <c r="D43" s="8">
        <v>0.87419999999999998</v>
      </c>
      <c r="E43" s="9">
        <v>1.2342</v>
      </c>
      <c r="F43" s="10">
        <v>1.7423999999999999</v>
      </c>
      <c r="G43" s="32">
        <v>2.4599000000000002</v>
      </c>
      <c r="H43" s="34">
        <v>3.4727999999999999</v>
      </c>
      <c r="L43">
        <f>Ratio!D26/Ratio!D13</f>
        <v>4.3483462479983812</v>
      </c>
      <c r="M43">
        <f>Ratio!E26/Ratio!E13</f>
        <v>5.3714870703400912</v>
      </c>
      <c r="N43">
        <f>Ratio!F26/Ratio!F13</f>
        <v>6.93697341983105</v>
      </c>
      <c r="O43">
        <f>Ratio!G26/Ratio!G13</f>
        <v>8.5692040513728998</v>
      </c>
      <c r="P43">
        <f>Ratio!H26/Ratio!H13</f>
        <v>11.505963189680623</v>
      </c>
    </row>
    <row r="44" spans="1:16">
      <c r="A44" s="412" t="s">
        <v>247</v>
      </c>
      <c r="B44" s="413"/>
      <c r="C44" s="414"/>
      <c r="D44" s="12">
        <v>1.1000000000000001E-3</v>
      </c>
      <c r="E44" s="13">
        <v>1.8E-3</v>
      </c>
      <c r="F44" s="14">
        <v>2.3E-3</v>
      </c>
      <c r="G44" s="13">
        <v>2.7000000000000001E-3</v>
      </c>
      <c r="H44" s="15">
        <v>3.2000000000000002E-3</v>
      </c>
      <c r="L44">
        <f>bs!D11/bs!D38</f>
        <v>0.50037059741951584</v>
      </c>
      <c r="M44">
        <f>bs!E11/bs!E38</f>
        <v>0.52656013033562499</v>
      </c>
      <c r="N44">
        <f>bs!F11/bs!F38</f>
        <v>0.55974767314662666</v>
      </c>
      <c r="O44">
        <f>bs!G11/bs!G38</f>
        <v>0.58107543396638939</v>
      </c>
      <c r="P44">
        <f>bs!H11/bs!H38</f>
        <v>0.61163551210310307</v>
      </c>
    </row>
    <row r="47" spans="1:16" ht="15.5">
      <c r="A47" s="186" t="s">
        <v>304</v>
      </c>
    </row>
    <row r="48" spans="1:16">
      <c r="G48" t="s">
        <v>248</v>
      </c>
    </row>
  </sheetData>
  <mergeCells count="38">
    <mergeCell ref="A42:C42"/>
    <mergeCell ref="A43:C43"/>
    <mergeCell ref="A44:C44"/>
    <mergeCell ref="A35:C35"/>
    <mergeCell ref="A36:C36"/>
    <mergeCell ref="A38:H38"/>
    <mergeCell ref="A39:C39"/>
    <mergeCell ref="A40:C40"/>
    <mergeCell ref="A30:C30"/>
    <mergeCell ref="A31:C31"/>
    <mergeCell ref="A33:H33"/>
    <mergeCell ref="A34:C34"/>
    <mergeCell ref="A41:C41"/>
    <mergeCell ref="A25:C25"/>
    <mergeCell ref="A26:C26"/>
    <mergeCell ref="A27:C27"/>
    <mergeCell ref="A28:C28"/>
    <mergeCell ref="A29:C29"/>
    <mergeCell ref="A19:H19"/>
    <mergeCell ref="A20:C20"/>
    <mergeCell ref="A21:C21"/>
    <mergeCell ref="A22:C22"/>
    <mergeCell ref="A24:H24"/>
    <mergeCell ref="A13:C13"/>
    <mergeCell ref="A14:C14"/>
    <mergeCell ref="A15:C15"/>
    <mergeCell ref="A16:C16"/>
    <mergeCell ref="A17:C17"/>
    <mergeCell ref="A8:C8"/>
    <mergeCell ref="A9:C9"/>
    <mergeCell ref="A10:C10"/>
    <mergeCell ref="A11:C11"/>
    <mergeCell ref="A12:C12"/>
    <mergeCell ref="A2:H2"/>
    <mergeCell ref="A3:H3"/>
    <mergeCell ref="A4:H4"/>
    <mergeCell ref="A6:H6"/>
    <mergeCell ref="A7:C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Title</vt:lpstr>
      <vt:lpstr>Sheet1</vt:lpstr>
      <vt:lpstr>profile</vt:lpstr>
      <vt:lpstr>fund </vt:lpstr>
      <vt:lpstr>Production</vt:lpstr>
      <vt:lpstr>INCOME</vt:lpstr>
      <vt:lpstr>trading </vt:lpstr>
      <vt:lpstr>pnl</vt:lpstr>
      <vt:lpstr>bs</vt:lpstr>
      <vt:lpstr>FA</vt:lpstr>
      <vt:lpstr>DSCR</vt:lpstr>
      <vt:lpstr>Ratio</vt:lpstr>
      <vt:lpstr>repayment </vt:lpstr>
      <vt:lpstr>all ratio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 Sarthi 3</dc:creator>
  <cp:lastModifiedBy>hp</cp:lastModifiedBy>
  <cp:lastPrinted>2026-07-28T03:22:32Z</cp:lastPrinted>
  <dcterms:created xsi:type="dcterms:W3CDTF">2023-06-12T04:37:00Z</dcterms:created>
  <dcterms:modified xsi:type="dcterms:W3CDTF">2026-07-28T03:23:56Z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4C7A6DB6853F4A0689C6A08E8BABE9C8_13</vt:lpwstr>
  </property>
  <property fmtid="{D5CDD505-2E9C-101B-9397-08002B2CF9AE}" pid="3" name="KSOProductBuildVer">
    <vt:lpwstr>1033-12.2.0.21546</vt:lpwstr>
  </property>
</Properties>
</file>
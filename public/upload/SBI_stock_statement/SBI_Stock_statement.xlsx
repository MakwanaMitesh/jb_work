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8990"/>
  </bookViews>
  <sheets>
    <sheet name="Stock Statement" sheetId="4" r:id="rId1"/>
  </sheets>
  <calcPr calcId="152511"/>
</workbook>
</file>

<file path=xl/calcChain.xml><?xml version="1.0" encoding="utf-8"?>
<calcChain xmlns="http://schemas.openxmlformats.org/spreadsheetml/2006/main">
  <c r="O19" i="4" l="1"/>
  <c r="H19" i="4"/>
  <c r="H18" i="4"/>
  <c r="E18" i="4"/>
  <c r="E19" i="4" l="1"/>
  <c r="F19" i="4"/>
  <c r="I19" i="4"/>
  <c r="M19" i="4" s="1"/>
  <c r="I18" i="4"/>
  <c r="M18" i="4" s="1"/>
  <c r="F18" i="4"/>
  <c r="G18" i="4" s="1"/>
  <c r="D19" i="4"/>
  <c r="D18" i="4"/>
  <c r="L112" i="4"/>
  <c r="F111" i="4"/>
  <c r="H111" i="4" s="1"/>
  <c r="J111" i="4" s="1"/>
  <c r="N111" i="4" s="1"/>
  <c r="K18" i="4" l="1"/>
  <c r="N18" i="4" s="1"/>
  <c r="K19" i="4"/>
  <c r="N19" i="4" s="1"/>
  <c r="G19" i="4"/>
  <c r="J19" i="4"/>
  <c r="J18" i="4"/>
  <c r="Q19" i="4" l="1"/>
  <c r="F109" i="4"/>
  <c r="H109" i="4" l="1"/>
  <c r="H112" i="4" s="1"/>
  <c r="F112" i="4"/>
  <c r="J109" i="4" l="1"/>
  <c r="N109" i="4" s="1"/>
  <c r="N112" i="4" s="1"/>
  <c r="J112" i="4" l="1"/>
</calcChain>
</file>

<file path=xl/sharedStrings.xml><?xml version="1.0" encoding="utf-8"?>
<sst xmlns="http://schemas.openxmlformats.org/spreadsheetml/2006/main" count="135" uniqueCount="113">
  <si>
    <t>Unit rate</t>
  </si>
  <si>
    <t>Annexure-FSM-3</t>
  </si>
  <si>
    <r>
      <t xml:space="preserve">Part A: </t>
    </r>
    <r>
      <rPr>
        <b/>
        <sz val="12"/>
        <color rgb="FF000000"/>
        <rFont val="Book Antiqua"/>
        <family val="1"/>
      </rPr>
      <t>INVENTORIES</t>
    </r>
  </si>
  <si>
    <t>Opening stock</t>
  </si>
  <si>
    <t>Stocks in</t>
  </si>
  <si>
    <t>Stocks out</t>
  </si>
  <si>
    <t>Closing stock</t>
  </si>
  <si>
    <t>Quantity</t>
  </si>
  <si>
    <t>Value</t>
  </si>
  <si>
    <t>Qty in store</t>
  </si>
  <si>
    <t>Qty in transit</t>
  </si>
  <si>
    <t>I- Raw materials</t>
  </si>
  <si>
    <t>‘A’ items* (specify whether imported or indigenous)</t>
  </si>
  <si>
    <t>… Others</t>
  </si>
  <si>
    <t>II- Stock in process</t>
  </si>
  <si>
    <r>
      <t xml:space="preserve">III- Finished goods </t>
    </r>
    <r>
      <rPr>
        <sz val="9"/>
        <color rgb="FF000000"/>
        <rFont val="Times New Roman"/>
        <family val="1"/>
      </rPr>
      <t>- </t>
    </r>
  </si>
  <si>
    <t>‘A’ items*</t>
  </si>
  <si>
    <r>
      <t>IV- Stores</t>
    </r>
    <r>
      <rPr>
        <sz val="9"/>
        <color rgb="FF000000"/>
        <rFont val="Times New Roman"/>
        <family val="1"/>
      </rPr>
      <t>  -  ‘A’ items*</t>
    </r>
  </si>
  <si>
    <r>
      <t xml:space="preserve">V- Spares </t>
    </r>
    <r>
      <rPr>
        <sz val="9"/>
        <color rgb="FF000000"/>
        <rFont val="Times New Roman"/>
        <family val="1"/>
      </rPr>
      <t>-  ‘A’ items*</t>
    </r>
  </si>
  <si>
    <r>
      <t xml:space="preserve">Part B:  </t>
    </r>
    <r>
      <rPr>
        <b/>
        <sz val="11"/>
        <color rgb="FF000000"/>
        <rFont val="Book Antiqua"/>
        <family val="1"/>
      </rPr>
      <t xml:space="preserve">BOOK DEBTS </t>
    </r>
  </si>
  <si>
    <t>(Rs. in thousand)1. Age analysis of book debts considered good (including bills discounted but</t>
  </si>
  <si>
    <t>excluding deferred receivables) </t>
  </si>
  <si>
    <t>Dues from</t>
  </si>
  <si>
    <t>Up to 6 months</t>
  </si>
  <si>
    <t>More than 6 months</t>
  </si>
  <si>
    <t>Total book debts</t>
  </si>
  <si>
    <t>Out of the total book debts, bills discounted with the Bank</t>
  </si>
  <si>
    <t>Number</t>
  </si>
  <si>
    <t>Amount</t>
  </si>
  <si>
    <t>Government and semi-government organisations</t>
  </si>
  <si>
    <t>Associates/affiliates/subsidiaries</t>
  </si>
  <si>
    <t>Others</t>
  </si>
  <si>
    <t>Total</t>
  </si>
  <si>
    <r>
      <t>2.</t>
    </r>
    <r>
      <rPr>
        <sz val="7"/>
        <color rgb="FF000000"/>
        <rFont val="Times New Roman"/>
        <family val="1"/>
      </rPr>
      <t xml:space="preserve">                  </t>
    </r>
    <r>
      <rPr>
        <sz val="11"/>
        <color rgb="FF000000"/>
        <rFont val="Book Antiqua"/>
        <family val="1"/>
      </rPr>
      <t>Only where drawings are permitted directly against book debts</t>
    </r>
  </si>
  <si>
    <t>(List of  major debtors, i.e., covering at least 60% of total book debts mentioned above)</t>
  </si>
  <si>
    <t>Name of the debtor</t>
  </si>
  <si>
    <t>Outstandings up to 6 months</t>
  </si>
  <si>
    <t>Outstandings more than 6 months</t>
  </si>
  <si>
    <r>
      <t xml:space="preserve">Part C:  </t>
    </r>
    <r>
      <rPr>
        <b/>
        <sz val="11"/>
        <color rgb="FF000000"/>
        <rFont val="Book Antiqua"/>
        <family val="1"/>
      </rPr>
      <t>OTHER INFORMATION</t>
    </r>
  </si>
  <si>
    <t>Projected for current accounting year</t>
  </si>
  <si>
    <t>Up to end of the last month</t>
  </si>
  <si>
    <t>During the month under report</t>
  </si>
  <si>
    <t>Sales</t>
  </si>
  <si>
    <t>Production</t>
  </si>
  <si>
    <t>Consumption of raw materials</t>
  </si>
  <si>
    <t>Consumption Of  Stores</t>
  </si>
  <si>
    <t>Sundry Creditors</t>
  </si>
  <si>
    <t>Year end:</t>
  </si>
  <si>
    <t>XXXX</t>
  </si>
  <si>
    <t>At the end of the month:</t>
  </si>
  <si>
    <t>Notes:</t>
  </si>
  <si>
    <t>‘A’ items should cover at least 60% of the value of stocks under each hand.  Other items may be clubbed together.</t>
  </si>
  <si>
    <r>
      <t>The stocks should be exclusive of materials received for job work but inclusive of materials sent out for processing etc., particulars of the latter should be shown separately indicating quantity, value and names of such processors, etc., along with appropriate certificates from such parties, to the effect that they (i) have received such materials from the borrower for processing, etc., (ii) hold the goods in trust for the bank; and (iii) undertake to deliver such stocks to the Bank or its authorized agents without demur whenever called upon to do so.</t>
    </r>
    <r>
      <rPr>
        <i/>
        <sz val="12"/>
        <color rgb="FF000000"/>
        <rFont val="Arial"/>
        <family val="2"/>
      </rPr>
      <t xml:space="preserve"> </t>
    </r>
  </si>
  <si>
    <t>1.</t>
  </si>
  <si>
    <t>2.</t>
  </si>
  <si>
    <r>
      <t>Particulars (items, quantity and value) of stocks more than a year old and included hereinabove should be shown separately.</t>
    </r>
    <r>
      <rPr>
        <i/>
        <sz val="12"/>
        <color rgb="FF000000"/>
        <rFont val="Arial"/>
        <family val="2"/>
      </rPr>
      <t xml:space="preserve"> </t>
    </r>
  </si>
  <si>
    <r>
      <t>Particulars of tailor-made / custom-built products, which are found defective / rejected by the designated buyer should be shown separately.</t>
    </r>
    <r>
      <rPr>
        <i/>
        <sz val="12"/>
        <color rgb="FF000000"/>
        <rFont val="Arial"/>
        <family val="2"/>
      </rPr>
      <t xml:space="preserve"> </t>
    </r>
  </si>
  <si>
    <r>
      <t>Valuation of stocks, etc., should be on the same basis as adopted for the statutory balance sheet and should be applied on a consistent basis.  If the market value of any item is less than the value disclosed in this statement, the market value should be indicated by way of a footnote.</t>
    </r>
    <r>
      <rPr>
        <i/>
        <sz val="12"/>
        <color rgb="FF000000"/>
        <rFont val="Arial"/>
        <family val="2"/>
      </rPr>
      <t xml:space="preserve"> </t>
    </r>
  </si>
  <si>
    <r>
      <t>This statement should be furnished for all the units financed by the Bank, unit-wise.</t>
    </r>
    <r>
      <rPr>
        <i/>
        <sz val="12"/>
        <color rgb="FF000000"/>
        <rFont val="Arial"/>
        <family val="2"/>
      </rPr>
      <t xml:space="preserve"> </t>
    </r>
  </si>
  <si>
    <r>
      <t>Where the stock statement represents only a part of total stocks of a borrower, a summary of the total stocks inclusive of stocks shown in this statement should be submitted alongwith this statement classified into raw materials, stocks-in process stores and spares, finished goods and book debts, if necessary e.g. where a single line of activity is financed by the Bank and some other banks; where different lines of activity are financed by the Bank and some other banks.</t>
    </r>
    <r>
      <rPr>
        <i/>
        <sz val="12"/>
        <color rgb="FF000000"/>
        <rFont val="Arial"/>
        <family val="2"/>
      </rPr>
      <t xml:space="preserve"> </t>
    </r>
  </si>
  <si>
    <t>3.</t>
  </si>
  <si>
    <t>4.</t>
  </si>
  <si>
    <t>5.</t>
  </si>
  <si>
    <t>6.</t>
  </si>
  <si>
    <t>Certificates:</t>
  </si>
  <si>
    <t>We hereby certify that –</t>
  </si>
  <si>
    <t>the quantity and quality of the abovenoted stocks and other assets pledged / hypothecated to the Bank are true and that the said stocks and assets are the absolute property of the ………………………………………… company and that the said stocks and assets are not subject to any lien, claim or charges whatsoever.</t>
  </si>
  <si>
    <t>a)</t>
  </si>
  <si>
    <t>b)</t>
  </si>
  <si>
    <t>The stocks and other assets abovenoted have been valued in the same manner and on the same basis and principles as adopted for the company’s last audited and published accounts for the year ended ………………….</t>
  </si>
  <si>
    <t>c)</t>
  </si>
  <si>
    <t>d)</t>
  </si>
  <si>
    <t>e)</t>
  </si>
  <si>
    <t>f)</t>
  </si>
  <si>
    <t>The stocks lying with outside processors included hereinabove and charged to the Bank, the company are in possession of valid documents of title thereto, and are the absolute property of the company and are not subject to any liens, claims or charges whatsoever;</t>
  </si>
  <si>
    <t xml:space="preserve">In the case of stocks and assets shown as being in transit and charged to the Bank, the company are in possession of valid document of title thereto and that the company’s title to such stocks &amp; assets is not subject to any liens, claims / charges whatsoever; </t>
  </si>
  <si>
    <t>Book debts hypothecated to the Bank shown above are good and do not include any book debts which in our opinion are bad or doubtful of recovery;</t>
  </si>
  <si>
    <t>No order of attachment or any notice or process from any Court or any other statutory authorities has been received by the company in respect of the whole or part of the said stocks and assets charged to the Bank;</t>
  </si>
  <si>
    <t>g)</t>
  </si>
  <si>
    <t>h)</t>
  </si>
  <si>
    <t>i)</t>
  </si>
  <si>
    <t>The company have complied with all the requirements of ……………………………. (e.g. Cotton Textiles Control Order 1965) and carried out all the instructions issued by the ………………………….. (e.g. the Textile Commissioner) pursuant to the powers vested in him under the same order;</t>
  </si>
  <si>
    <t>The above noted stocks and assets (excepting those which are not subject to fire hazards) are fully insured against fire and ………….. risks as per statement of insurance policies attached and that all the conditions and warranties contained in the insurance policies have been complied with and the said policies are valid enforceable;</t>
  </si>
  <si>
    <t>The particulars of stocks of assets and all the other information furnished hereinabove have been taken from and are in agreement with the company’s books of accounts maintained in the normal course of business and or other books and records maintained in accordance with statutory or other requirements.</t>
  </si>
  <si>
    <t>Valuation done at the lowest of cost, market or controlled rates</t>
  </si>
  <si>
    <t>Items</t>
  </si>
  <si>
    <t>Value of stocks</t>
  </si>
  <si>
    <t>Margin</t>
  </si>
  <si>
    <t>Advance value</t>
  </si>
  <si>
    <t>(3-4)</t>
  </si>
  <si>
    <t>Sub-limit, if any</t>
  </si>
  <si>
    <t>Drawing power</t>
  </si>
  <si>
    <t>%</t>
  </si>
  <si>
    <t>(i) Raw materials</t>
  </si>
  <si>
    <t>(ii) Stores</t>
  </si>
  <si>
    <t>(iii)Stock-in- process</t>
  </si>
  <si>
    <t>(iv)Finished goods</t>
  </si>
  <si>
    <t>(v) Spares</t>
  </si>
  <si>
    <t>(vi) Book-debts including bills discounted</t>
  </si>
  <si>
    <t>Total of (i) to (vi)</t>
  </si>
  <si>
    <t>Signature of the authorised officials of the Company</t>
  </si>
  <si>
    <t>50% </t>
  </si>
  <si>
    <t>-</t>
  </si>
  <si>
    <t>other debtors</t>
  </si>
  <si>
    <t>sopari (20kg bori)</t>
  </si>
  <si>
    <t>soft drinks(car)</t>
  </si>
  <si>
    <r>
      <t xml:space="preserve">Name of the Company/unit :- M/s </t>
    </r>
    <r>
      <rPr>
        <u/>
        <sz val="12"/>
        <color rgb="FF000000"/>
        <rFont val="Book Antiqua"/>
        <family val="1"/>
      </rPr>
      <t xml:space="preserve">    </t>
    </r>
    <r>
      <rPr>
        <u/>
        <sz val="12"/>
        <color rgb="FF0070C0"/>
        <rFont val="Book Antiqua"/>
        <family val="1"/>
      </rPr>
      <t>SUVARN SALES AGENCY</t>
    </r>
    <r>
      <rPr>
        <u/>
        <sz val="12"/>
        <color rgb="FF000000"/>
        <rFont val="Book Antiqua"/>
        <family val="1"/>
      </rPr>
      <t xml:space="preserve">     </t>
    </r>
  </si>
  <si>
    <r>
      <t xml:space="preserve">STATEMENT OF STOCK AND BOOK DEBTS AS ON </t>
    </r>
    <r>
      <rPr>
        <b/>
        <sz val="12"/>
        <color rgb="FF0070C0"/>
        <rFont val="Book Antiqua"/>
        <family val="1"/>
      </rPr>
      <t>31/07/2026</t>
    </r>
  </si>
  <si>
    <r>
      <t xml:space="preserve">(Rs. </t>
    </r>
    <r>
      <rPr>
        <u/>
        <sz val="12"/>
        <color rgb="FF000000"/>
        <rFont val="Book Antiqua"/>
        <family val="1"/>
      </rPr>
      <t xml:space="preserve"> </t>
    </r>
    <r>
      <rPr>
        <u/>
        <sz val="12"/>
        <color rgb="FF0070C0"/>
        <rFont val="Book Antiqua"/>
        <family val="1"/>
      </rPr>
      <t xml:space="preserve">  9,75,000</t>
    </r>
    <r>
      <rPr>
        <u/>
        <sz val="12"/>
        <color rgb="FF000000"/>
        <rFont val="Book Antiqua"/>
        <family val="1"/>
      </rPr>
      <t xml:space="preserve">  </t>
    </r>
    <r>
      <rPr>
        <sz val="12"/>
        <color rgb="FF000000"/>
        <rFont val="Book Antiqua"/>
        <family val="1"/>
      </rPr>
      <t>.CR/-)</t>
    </r>
  </si>
  <si>
    <r>
      <t>Summary of stock &amp; book debts position as per the stock statement dated</t>
    </r>
    <r>
      <rPr>
        <b/>
        <sz val="11"/>
        <color rgb="FF0070C0"/>
        <rFont val="Book Antiqua"/>
        <family val="1"/>
      </rPr>
      <t>___________</t>
    </r>
    <r>
      <rPr>
        <b/>
        <sz val="11"/>
        <color rgb="FF000000"/>
        <rFont val="Book Antiqua"/>
        <family val="1"/>
      </rPr>
      <t> </t>
    </r>
  </si>
  <si>
    <r>
      <t>(Rs.</t>
    </r>
    <r>
      <rPr>
        <b/>
        <sz val="11"/>
        <color rgb="FF0070C0"/>
        <rFont val="Book Antiqua"/>
        <family val="1"/>
      </rPr>
      <t>__________</t>
    </r>
    <r>
      <rPr>
        <b/>
        <sz val="11"/>
        <color rgb="FF000000"/>
        <rFont val="Book Antiqua"/>
        <family val="1"/>
      </rPr>
      <t xml:space="preserve"> /-)</t>
    </r>
  </si>
  <si>
    <r>
      <t xml:space="preserve">Place: </t>
    </r>
    <r>
      <rPr>
        <sz val="12"/>
        <color rgb="FF0070C0"/>
        <rFont val="Book Antiqua"/>
        <family val="1"/>
      </rPr>
      <t>city name</t>
    </r>
  </si>
  <si>
    <r>
      <t xml:space="preserve">Date:- </t>
    </r>
    <r>
      <rPr>
        <sz val="12"/>
        <color rgb="FF0070C0"/>
        <rFont val="Book Antiqua"/>
        <family val="1"/>
      </rPr>
      <t>11/11/1111</t>
    </r>
  </si>
</sst>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color rgb="FF000000"/>
      <name val="Times New Roman"/>
      <charset val="204"/>
    </font>
    <font>
      <sz val="10"/>
      <color rgb="FF000000"/>
      <name val="Times New Roman"/>
      <family val="1"/>
    </font>
    <font>
      <b/>
      <sz val="13.5"/>
      <color rgb="FF000000"/>
      <name val="Times New Roman"/>
      <family val="1"/>
    </font>
    <font>
      <sz val="12"/>
      <color rgb="FF000000"/>
      <name val="Book Antiqua"/>
      <family val="1"/>
    </font>
    <font>
      <b/>
      <sz val="12"/>
      <color rgb="FF000000"/>
      <name val="Book Antiqua"/>
      <family val="1"/>
    </font>
    <font>
      <sz val="11"/>
      <color rgb="FF000000"/>
      <name val="Book Antiqua"/>
      <family val="1"/>
    </font>
    <font>
      <sz val="9"/>
      <color rgb="FF000000"/>
      <name val="Times New Roman"/>
      <family val="1"/>
    </font>
    <font>
      <b/>
      <sz val="9"/>
      <color rgb="FF000000"/>
      <name val="Times New Roman"/>
      <family val="1"/>
    </font>
    <font>
      <b/>
      <sz val="11"/>
      <color rgb="FF000000"/>
      <name val="Times New Roman"/>
      <family val="1"/>
    </font>
    <font>
      <sz val="11"/>
      <color rgb="FF000000"/>
      <name val="Times New Roman"/>
      <family val="1"/>
    </font>
    <font>
      <b/>
      <sz val="11"/>
      <color rgb="FF000000"/>
      <name val="Book Antiqua"/>
      <family val="1"/>
    </font>
    <font>
      <sz val="7"/>
      <color rgb="FF000000"/>
      <name val="Times New Roman"/>
      <family val="1"/>
    </font>
    <font>
      <sz val="10"/>
      <color rgb="FF000000"/>
      <name val="Book Antiqua"/>
      <family val="1"/>
    </font>
    <font>
      <b/>
      <sz val="10"/>
      <color rgb="FF000000"/>
      <name val="Book Antiqua"/>
      <family val="1"/>
    </font>
    <font>
      <i/>
      <sz val="10"/>
      <color rgb="FF000000"/>
      <name val="Book Antiqua"/>
      <family val="1"/>
    </font>
    <font>
      <i/>
      <sz val="12"/>
      <color rgb="FF000000"/>
      <name val="Arial"/>
      <family val="2"/>
    </font>
    <font>
      <u/>
      <sz val="12"/>
      <color rgb="FF000000"/>
      <name val="Book Antiqua"/>
      <family val="1"/>
    </font>
    <font>
      <sz val="12"/>
      <color rgb="FF000000"/>
      <name val="Times New Roman"/>
      <family val="1"/>
    </font>
    <font>
      <u/>
      <sz val="12"/>
      <color rgb="FF0070C0"/>
      <name val="Book Antiqua"/>
      <family val="1"/>
    </font>
    <font>
      <b/>
      <sz val="12"/>
      <color rgb="FF0070C0"/>
      <name val="Book Antiqua"/>
      <family val="1"/>
    </font>
    <font>
      <sz val="9"/>
      <color rgb="FF0070C0"/>
      <name val="Times New Roman"/>
      <family val="1"/>
    </font>
    <font>
      <sz val="11"/>
      <color rgb="FF0070C0"/>
      <name val="Book Antiqua"/>
      <family val="1"/>
    </font>
    <font>
      <sz val="11"/>
      <color rgb="FF0070C0"/>
      <name val="Times New Roman"/>
      <family val="1"/>
    </font>
    <font>
      <sz val="12"/>
      <color rgb="FF0070C0"/>
      <name val="Times New Roman"/>
      <family val="1"/>
    </font>
    <font>
      <sz val="12"/>
      <color rgb="FF0070C0"/>
      <name val="Book Antiqua"/>
      <family val="1"/>
    </font>
    <font>
      <b/>
      <sz val="11"/>
      <color rgb="FF0070C0"/>
      <name val="Book Antiqua"/>
      <family val="1"/>
    </font>
    <font>
      <sz val="10"/>
      <color rgb="FF0070C0"/>
      <name val="Times New Roman"/>
      <family val="1"/>
    </font>
  </fonts>
  <fills count="2">
    <fill>
      <patternFill patternType="none"/>
    </fill>
    <fill>
      <patternFill patternType="gray125"/>
    </fill>
  </fills>
  <borders count="31">
    <border>
      <left/>
      <right/>
      <top/>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style="medium">
        <color rgb="FF000000"/>
      </left>
      <right/>
      <top style="medium">
        <color indexed="64"/>
      </top>
      <bottom/>
      <diagonal/>
    </border>
    <border>
      <left style="medium">
        <color indexed="64"/>
      </left>
      <right/>
      <top/>
      <bottom style="medium">
        <color rgb="FF000000"/>
      </bottom>
      <diagonal/>
    </border>
    <border>
      <left style="medium">
        <color indexed="64"/>
      </left>
      <right/>
      <top style="medium">
        <color rgb="FF000000"/>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indexed="64"/>
      </right>
      <top style="medium">
        <color rgb="FF000000"/>
      </top>
      <bottom style="medium">
        <color rgb="FF000000"/>
      </bottom>
      <diagonal/>
    </border>
    <border>
      <left/>
      <right style="medium">
        <color rgb="FF000000"/>
      </right>
      <top style="medium">
        <color indexed="64"/>
      </top>
      <bottom style="medium">
        <color indexed="64"/>
      </bottom>
      <diagonal/>
    </border>
  </borders>
  <cellStyleXfs count="1">
    <xf numFmtId="0" fontId="0" fillId="0" borderId="0"/>
  </cellStyleXfs>
  <cellXfs count="140">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2" fillId="0" borderId="0" xfId="0" applyFont="1" applyFill="1" applyBorder="1" applyAlignment="1">
      <alignment horizontal="right" vertical="top"/>
    </xf>
    <xf numFmtId="0" fontId="3" fillId="0" borderId="0" xfId="0" applyFont="1" applyFill="1" applyBorder="1" applyAlignment="1">
      <alignment horizontal="left" vertical="top"/>
    </xf>
    <xf numFmtId="0" fontId="4" fillId="0" borderId="0" xfId="0" applyFont="1" applyFill="1" applyBorder="1" applyAlignment="1">
      <alignment horizontal="right" vertical="top"/>
    </xf>
    <xf numFmtId="0" fontId="5" fillId="0" borderId="0"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5" xfId="0" applyFont="1" applyFill="1" applyBorder="1" applyAlignment="1">
      <alignment horizontal="left" vertical="top" wrapText="1"/>
    </xf>
    <xf numFmtId="0" fontId="7" fillId="0" borderId="6" xfId="0" applyFont="1" applyFill="1" applyBorder="1" applyAlignment="1">
      <alignment horizontal="left" vertical="top" wrapText="1"/>
    </xf>
    <xf numFmtId="0" fontId="6" fillId="0" borderId="6" xfId="0" applyFont="1" applyFill="1" applyBorder="1" applyAlignment="1">
      <alignment horizontal="left" vertical="top" wrapText="1"/>
    </xf>
    <xf numFmtId="0" fontId="5" fillId="0" borderId="2" xfId="0" applyFont="1" applyFill="1" applyBorder="1" applyAlignment="1">
      <alignment horizontal="left" vertical="top" wrapText="1"/>
    </xf>
    <xf numFmtId="0" fontId="8" fillId="0" borderId="2" xfId="0" applyFont="1" applyFill="1" applyBorder="1" applyAlignment="1">
      <alignment horizontal="left" vertical="top" wrapText="1"/>
    </xf>
    <xf numFmtId="0" fontId="9" fillId="0" borderId="2" xfId="0" applyFont="1" applyFill="1" applyBorder="1" applyAlignment="1">
      <alignment horizontal="left" vertical="top" wrapText="1"/>
    </xf>
    <xf numFmtId="0" fontId="5" fillId="0" borderId="5" xfId="0" applyFont="1" applyFill="1" applyBorder="1" applyAlignment="1">
      <alignment horizontal="left" vertical="top" wrapText="1"/>
    </xf>
    <xf numFmtId="0" fontId="7" fillId="0" borderId="2" xfId="0" applyFont="1" applyFill="1" applyBorder="1" applyAlignment="1">
      <alignment horizontal="left" vertical="top" wrapText="1"/>
    </xf>
    <xf numFmtId="0" fontId="5" fillId="0" borderId="0" xfId="0" applyFont="1" applyFill="1" applyBorder="1" applyAlignment="1">
      <alignment horizontal="left" vertical="top"/>
    </xf>
    <xf numFmtId="0" fontId="8" fillId="0" borderId="5" xfId="0" applyFont="1" applyFill="1" applyBorder="1" applyAlignment="1">
      <alignment horizontal="left" vertical="top" wrapText="1"/>
    </xf>
    <xf numFmtId="0" fontId="5" fillId="0" borderId="2" xfId="0" applyFont="1" applyFill="1" applyBorder="1" applyAlignment="1">
      <alignment horizontal="center" vertical="top" wrapText="1"/>
    </xf>
    <xf numFmtId="0" fontId="5" fillId="0" borderId="0" xfId="0" applyFont="1" applyFill="1" applyBorder="1" applyAlignment="1">
      <alignment vertical="top" wrapText="1"/>
    </xf>
    <xf numFmtId="0" fontId="5" fillId="0" borderId="8" xfId="0" applyFont="1" applyFill="1" applyBorder="1" applyAlignment="1">
      <alignment horizontal="left" vertical="top" wrapText="1"/>
    </xf>
    <xf numFmtId="0" fontId="8" fillId="0" borderId="8" xfId="0" applyFont="1" applyFill="1" applyBorder="1" applyAlignment="1">
      <alignment horizontal="left" vertical="top" wrapText="1"/>
    </xf>
    <xf numFmtId="0" fontId="5" fillId="0" borderId="0" xfId="0" applyFont="1" applyFill="1" applyBorder="1" applyAlignment="1">
      <alignment vertical="top"/>
    </xf>
    <xf numFmtId="0" fontId="13" fillId="0" borderId="0" xfId="0" applyFont="1" applyFill="1" applyBorder="1" applyAlignment="1">
      <alignment horizontal="left" vertical="top"/>
    </xf>
    <xf numFmtId="0" fontId="1" fillId="0" borderId="0" xfId="0" applyFont="1" applyFill="1" applyBorder="1" applyAlignment="1">
      <alignment horizontal="left" vertical="top"/>
    </xf>
    <xf numFmtId="0" fontId="8" fillId="0" borderId="0" xfId="0" quotePrefix="1" applyFont="1" applyFill="1" applyBorder="1" applyAlignment="1">
      <alignment horizontal="right" vertical="top"/>
    </xf>
    <xf numFmtId="0" fontId="8" fillId="0" borderId="0" xfId="0" quotePrefix="1" applyFont="1" applyFill="1" applyBorder="1" applyAlignment="1">
      <alignment horizontal="right"/>
    </xf>
    <xf numFmtId="0" fontId="5" fillId="0" borderId="27" xfId="0" applyFont="1" applyFill="1" applyBorder="1" applyAlignment="1">
      <alignment vertical="top" wrapText="1"/>
    </xf>
    <xf numFmtId="0" fontId="5" fillId="0" borderId="28" xfId="0" applyFont="1" applyFill="1" applyBorder="1" applyAlignment="1">
      <alignment vertical="top" wrapText="1"/>
    </xf>
    <xf numFmtId="0" fontId="12" fillId="0" borderId="0" xfId="0" applyFont="1" applyFill="1" applyBorder="1" applyAlignment="1">
      <alignment horizontal="right" vertical="top"/>
    </xf>
    <xf numFmtId="0" fontId="12"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0" fillId="0" borderId="0" xfId="0" applyFont="1" applyFill="1" applyBorder="1" applyAlignment="1">
      <alignment horizontal="left" vertical="top"/>
    </xf>
    <xf numFmtId="0" fontId="5" fillId="0" borderId="8" xfId="0" applyFont="1" applyFill="1" applyBorder="1" applyAlignment="1">
      <alignment horizontal="center" vertical="top" wrapText="1"/>
    </xf>
    <xf numFmtId="0" fontId="3" fillId="0" borderId="8" xfId="0" applyFont="1" applyFill="1" applyBorder="1" applyAlignment="1">
      <alignment vertical="center" wrapText="1"/>
    </xf>
    <xf numFmtId="0" fontId="3" fillId="0" borderId="2" xfId="0" applyFont="1" applyFill="1" applyBorder="1" applyAlignment="1">
      <alignment vertical="center" wrapText="1"/>
    </xf>
    <xf numFmtId="0" fontId="3" fillId="0" borderId="8" xfId="0" applyFont="1" applyFill="1" applyBorder="1" applyAlignment="1">
      <alignment horizontal="right" vertical="center" wrapText="1"/>
    </xf>
    <xf numFmtId="0" fontId="3" fillId="0" borderId="2" xfId="0" applyFont="1" applyFill="1" applyBorder="1" applyAlignment="1">
      <alignment horizontal="right" vertical="center" wrapText="1"/>
    </xf>
    <xf numFmtId="0" fontId="5" fillId="0" borderId="26" xfId="0" applyFont="1" applyFill="1" applyBorder="1" applyAlignment="1">
      <alignment vertical="top"/>
    </xf>
    <xf numFmtId="0" fontId="6"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3" fillId="0" borderId="17" xfId="0" applyFont="1" applyFill="1" applyBorder="1" applyAlignment="1">
      <alignment vertical="center" wrapText="1"/>
    </xf>
    <xf numFmtId="0" fontId="3" fillId="0" borderId="19" xfId="0" applyFont="1" applyFill="1" applyBorder="1" applyAlignment="1">
      <alignment vertical="center" wrapText="1"/>
    </xf>
    <xf numFmtId="0" fontId="5" fillId="0" borderId="1"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4" xfId="0" applyFont="1" applyFill="1" applyBorder="1" applyAlignment="1">
      <alignment horizontal="center" vertical="top" wrapText="1"/>
    </xf>
    <xf numFmtId="0" fontId="5" fillId="0" borderId="17" xfId="0" applyFont="1" applyFill="1" applyBorder="1" applyAlignment="1">
      <alignment horizontal="center" vertical="top" wrapText="1"/>
    </xf>
    <xf numFmtId="0" fontId="5" fillId="0" borderId="19" xfId="0" applyFont="1" applyFill="1" applyBorder="1" applyAlignment="1">
      <alignment horizontal="center" vertical="top" wrapText="1"/>
    </xf>
    <xf numFmtId="0" fontId="1"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8" fillId="0" borderId="7" xfId="0" applyFont="1" applyFill="1" applyBorder="1" applyAlignment="1">
      <alignment horizontal="left" vertical="top" wrapText="1"/>
    </xf>
    <xf numFmtId="0" fontId="8" fillId="0" borderId="5" xfId="0" applyFont="1" applyFill="1" applyBorder="1" applyAlignment="1">
      <alignment horizontal="left" vertical="top" wrapText="1"/>
    </xf>
    <xf numFmtId="0" fontId="5" fillId="0" borderId="7"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6" xfId="0" applyFont="1" applyFill="1" applyBorder="1" applyAlignment="1">
      <alignment horizontal="center" vertical="top" wrapText="1"/>
    </xf>
    <xf numFmtId="0" fontId="5" fillId="0" borderId="0" xfId="0" applyFont="1" applyFill="1" applyBorder="1" applyAlignment="1">
      <alignment horizontal="center" vertical="top" wrapText="1"/>
    </xf>
    <xf numFmtId="0" fontId="5" fillId="0" borderId="17" xfId="0" applyFont="1" applyFill="1" applyBorder="1" applyAlignment="1">
      <alignment horizontal="left" vertical="top" wrapText="1"/>
    </xf>
    <xf numFmtId="0" fontId="5" fillId="0" borderId="19"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17" fillId="0" borderId="17" xfId="0" applyFont="1" applyFill="1" applyBorder="1" applyAlignment="1">
      <alignment vertical="center"/>
    </xf>
    <xf numFmtId="0" fontId="17" fillId="0" borderId="19" xfId="0" applyFont="1" applyFill="1" applyBorder="1" applyAlignment="1">
      <alignment vertic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9" fillId="0" borderId="3"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16" xfId="0" applyFont="1" applyFill="1" applyBorder="1" applyAlignment="1">
      <alignment horizontal="left" vertical="top" wrapText="1"/>
    </xf>
    <xf numFmtId="0" fontId="5" fillId="0" borderId="14" xfId="0" applyFont="1" applyFill="1" applyBorder="1" applyAlignment="1">
      <alignment horizontal="center" vertical="top" wrapText="1"/>
    </xf>
    <xf numFmtId="0" fontId="5" fillId="0" borderId="16" xfId="0" applyFont="1" applyFill="1" applyBorder="1" applyAlignment="1">
      <alignment horizontal="center" vertical="top" wrapText="1"/>
    </xf>
    <xf numFmtId="0" fontId="9" fillId="0" borderId="17" xfId="0" applyFont="1" applyFill="1" applyBorder="1" applyAlignment="1">
      <alignment horizontal="left" vertical="top" wrapText="1"/>
    </xf>
    <xf numFmtId="0" fontId="9" fillId="0" borderId="19" xfId="0" applyFont="1" applyFill="1" applyBorder="1" applyAlignment="1">
      <alignment horizontal="left" vertical="top" wrapText="1"/>
    </xf>
    <xf numFmtId="0" fontId="5" fillId="0" borderId="17" xfId="0" applyFont="1" applyFill="1" applyBorder="1" applyAlignment="1">
      <alignment horizontal="center" wrapText="1"/>
    </xf>
    <xf numFmtId="0" fontId="5" fillId="0" borderId="19" xfId="0" applyFont="1" applyFill="1" applyBorder="1" applyAlignment="1">
      <alignment horizontal="center" wrapText="1"/>
    </xf>
    <xf numFmtId="0" fontId="9" fillId="0" borderId="9"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14" xfId="0" applyFont="1" applyFill="1" applyBorder="1" applyAlignment="1">
      <alignment horizontal="left" vertical="top" wrapText="1"/>
    </xf>
    <xf numFmtId="0" fontId="9" fillId="0" borderId="16" xfId="0" applyFont="1" applyFill="1" applyBorder="1" applyAlignment="1">
      <alignment horizontal="left" vertical="top" wrapText="1"/>
    </xf>
    <xf numFmtId="0" fontId="13" fillId="0" borderId="0" xfId="0" applyFont="1" applyFill="1" applyBorder="1" applyAlignment="1">
      <alignment horizontal="left" vertical="top"/>
    </xf>
    <xf numFmtId="0" fontId="12" fillId="0" borderId="0" xfId="0" applyFont="1" applyFill="1" applyBorder="1" applyAlignment="1">
      <alignment horizontal="left" vertical="top"/>
    </xf>
    <xf numFmtId="0" fontId="12" fillId="0" borderId="0" xfId="0" applyFont="1" applyFill="1" applyBorder="1" applyAlignment="1">
      <alignment horizontal="left" vertical="top" wrapText="1"/>
    </xf>
    <xf numFmtId="0" fontId="14" fillId="0" borderId="0" xfId="0" applyFont="1" applyFill="1" applyBorder="1" applyAlignment="1">
      <alignment horizontal="left" vertical="top" wrapText="1"/>
    </xf>
    <xf numFmtId="0" fontId="14" fillId="0" borderId="0" xfId="0" applyFont="1" applyFill="1" applyBorder="1" applyAlignment="1">
      <alignment horizontal="left" vertical="top"/>
    </xf>
    <xf numFmtId="0" fontId="14" fillId="0" borderId="0" xfId="0" applyFont="1" applyFill="1" applyBorder="1" applyAlignment="1">
      <alignment horizontal="left" wrapText="1"/>
    </xf>
    <xf numFmtId="0" fontId="5" fillId="0" borderId="25"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4" xfId="0" applyFont="1" applyFill="1" applyBorder="1" applyAlignment="1">
      <alignment horizontal="left" vertical="top" wrapText="1"/>
    </xf>
    <xf numFmtId="0" fontId="0" fillId="0" borderId="3" xfId="0" applyFill="1" applyBorder="1" applyAlignment="1">
      <alignment horizontal="left" vertical="top"/>
    </xf>
    <xf numFmtId="0" fontId="0" fillId="0" borderId="29" xfId="0" applyFill="1" applyBorder="1" applyAlignment="1">
      <alignment horizontal="left" vertical="top"/>
    </xf>
    <xf numFmtId="0" fontId="0" fillId="0" borderId="17"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5" fillId="0" borderId="21" xfId="0" applyFont="1" applyFill="1" applyBorder="1" applyAlignment="1">
      <alignment horizontal="left" vertical="top" wrapText="1"/>
    </xf>
    <xf numFmtId="0" fontId="5" fillId="0" borderId="15" xfId="0" applyFont="1" applyFill="1" applyBorder="1" applyAlignment="1">
      <alignment horizontal="left" vertical="top" wrapText="1"/>
    </xf>
    <xf numFmtId="0" fontId="5" fillId="0" borderId="20" xfId="0" applyFont="1" applyFill="1" applyBorder="1" applyAlignment="1">
      <alignment horizontal="left" vertical="top" wrapText="1"/>
    </xf>
    <xf numFmtId="0" fontId="8" fillId="0" borderId="21" xfId="0" applyFont="1" applyFill="1" applyBorder="1" applyAlignment="1">
      <alignment horizontal="left" vertical="top" wrapText="1"/>
    </xf>
    <xf numFmtId="0" fontId="8" fillId="0" borderId="15" xfId="0" applyFont="1" applyFill="1" applyBorder="1" applyAlignment="1">
      <alignment horizontal="left" vertical="top" wrapText="1"/>
    </xf>
    <xf numFmtId="0" fontId="5" fillId="0" borderId="17" xfId="0" applyFont="1" applyFill="1" applyBorder="1" applyAlignment="1">
      <alignment horizontal="left" vertical="top"/>
    </xf>
    <xf numFmtId="0" fontId="5" fillId="0" borderId="18" xfId="0" applyFont="1" applyFill="1" applyBorder="1" applyAlignment="1">
      <alignment horizontal="left" vertical="top"/>
    </xf>
    <xf numFmtId="0" fontId="5" fillId="0" borderId="19" xfId="0" applyFont="1" applyFill="1" applyBorder="1" applyAlignment="1">
      <alignment horizontal="left" vertical="top"/>
    </xf>
    <xf numFmtId="0" fontId="5" fillId="0" borderId="23" xfId="0" applyFont="1" applyFill="1" applyBorder="1" applyAlignment="1">
      <alignment horizontal="left" vertical="top" wrapText="1"/>
    </xf>
    <xf numFmtId="0" fontId="5" fillId="0" borderId="10"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22" xfId="0" applyFont="1" applyFill="1" applyBorder="1" applyAlignment="1">
      <alignment horizontal="left" vertical="top" wrapText="1"/>
    </xf>
    <xf numFmtId="0" fontId="5" fillId="0" borderId="15" xfId="0" applyFont="1" applyFill="1" applyBorder="1" applyAlignment="1">
      <alignment horizontal="center" vertical="top" wrapText="1"/>
    </xf>
    <xf numFmtId="0" fontId="5" fillId="0" borderId="20" xfId="0" applyFont="1" applyFill="1" applyBorder="1" applyAlignment="1">
      <alignment horizontal="center" vertical="top" wrapText="1"/>
    </xf>
    <xf numFmtId="0" fontId="5" fillId="0" borderId="21" xfId="0" applyFont="1" applyFill="1" applyBorder="1" applyAlignment="1">
      <alignment horizontal="center" vertical="top" wrapText="1"/>
    </xf>
    <xf numFmtId="0" fontId="5" fillId="0" borderId="24" xfId="0"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17" xfId="0" applyFont="1" applyFill="1" applyBorder="1" applyAlignment="1">
      <alignment vertical="top" wrapText="1"/>
    </xf>
    <xf numFmtId="0" fontId="5" fillId="0" borderId="19" xfId="0" applyFont="1" applyFill="1" applyBorder="1" applyAlignment="1">
      <alignment vertical="top" wrapText="1"/>
    </xf>
    <xf numFmtId="0" fontId="8" fillId="0" borderId="9" xfId="0" applyFont="1" applyFill="1" applyBorder="1" applyAlignment="1">
      <alignment horizontal="left" vertical="top" wrapTex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8" fillId="0" borderId="14" xfId="0" applyFont="1" applyFill="1" applyBorder="1" applyAlignment="1">
      <alignment horizontal="left" vertical="top" wrapText="1"/>
    </xf>
    <xf numFmtId="0" fontId="8" fillId="0" borderId="16" xfId="0" applyFont="1" applyFill="1" applyBorder="1" applyAlignment="1">
      <alignment horizontal="left" vertical="top" wrapText="1"/>
    </xf>
    <xf numFmtId="0" fontId="5" fillId="0" borderId="18" xfId="0" applyFont="1" applyFill="1" applyBorder="1" applyAlignment="1">
      <alignment horizontal="center" vertical="top" wrapText="1"/>
    </xf>
    <xf numFmtId="0" fontId="5" fillId="0" borderId="10" xfId="0" applyFont="1" applyFill="1" applyBorder="1" applyAlignment="1">
      <alignment horizontal="center" vertical="top" wrapText="1"/>
    </xf>
    <xf numFmtId="0" fontId="5" fillId="0" borderId="12" xfId="0" applyFont="1" applyFill="1" applyBorder="1" applyAlignment="1">
      <alignment horizontal="center" vertical="top" wrapText="1"/>
    </xf>
    <xf numFmtId="0" fontId="5" fillId="0" borderId="13" xfId="0" applyFont="1" applyFill="1" applyBorder="1" applyAlignment="1">
      <alignment horizontal="center" vertical="top" wrapText="1"/>
    </xf>
    <xf numFmtId="0" fontId="20" fillId="0" borderId="6" xfId="0" applyFont="1" applyFill="1" applyBorder="1" applyAlignment="1">
      <alignment horizontal="left" vertical="top" wrapText="1"/>
    </xf>
    <xf numFmtId="0" fontId="21" fillId="0" borderId="2" xfId="0" applyFont="1" applyFill="1" applyBorder="1" applyAlignment="1">
      <alignment horizontal="left" vertical="top" wrapText="1"/>
    </xf>
    <xf numFmtId="0" fontId="22" fillId="0" borderId="2" xfId="0" applyFont="1" applyFill="1" applyBorder="1" applyAlignment="1">
      <alignment horizontal="left" vertical="top" wrapText="1"/>
    </xf>
    <xf numFmtId="0" fontId="22" fillId="0" borderId="2" xfId="0" quotePrefix="1" applyFont="1" applyFill="1" applyBorder="1" applyAlignment="1">
      <alignment horizontal="center" vertical="top" wrapText="1"/>
    </xf>
    <xf numFmtId="0" fontId="21" fillId="0" borderId="5" xfId="0" applyFont="1" applyFill="1" applyBorder="1" applyAlignment="1">
      <alignment horizontal="left" vertical="top" wrapText="1"/>
    </xf>
    <xf numFmtId="0" fontId="21" fillId="0" borderId="17" xfId="0" applyFont="1" applyFill="1" applyBorder="1" applyAlignment="1">
      <alignment horizontal="center" vertical="top" wrapText="1"/>
    </xf>
    <xf numFmtId="0" fontId="21" fillId="0" borderId="19" xfId="0" applyFont="1" applyFill="1" applyBorder="1" applyAlignment="1">
      <alignment horizontal="center" vertical="top" wrapText="1"/>
    </xf>
    <xf numFmtId="0" fontId="23" fillId="0" borderId="17" xfId="0" applyFont="1" applyFill="1" applyBorder="1" applyAlignment="1">
      <alignment vertical="center"/>
    </xf>
    <xf numFmtId="0" fontId="23" fillId="0" borderId="19" xfId="0" applyFont="1" applyFill="1" applyBorder="1" applyAlignment="1">
      <alignment vertical="center"/>
    </xf>
    <xf numFmtId="0" fontId="24" fillId="0" borderId="8" xfId="0" applyFont="1" applyFill="1" applyBorder="1" applyAlignment="1">
      <alignment horizontal="right" vertical="center" wrapText="1"/>
    </xf>
    <xf numFmtId="9" fontId="24" fillId="0" borderId="2" xfId="0" applyNumberFormat="1" applyFont="1" applyFill="1" applyBorder="1" applyAlignment="1">
      <alignment horizontal="right" vertical="center" wrapText="1"/>
    </xf>
    <xf numFmtId="0" fontId="24" fillId="0" borderId="17" xfId="0" applyFont="1" applyFill="1" applyBorder="1" applyAlignment="1">
      <alignment vertical="center" wrapText="1"/>
    </xf>
    <xf numFmtId="0" fontId="24" fillId="0" borderId="19" xfId="0" applyFont="1" applyFill="1" applyBorder="1" applyAlignment="1">
      <alignment vertical="center" wrapText="1"/>
    </xf>
    <xf numFmtId="0" fontId="24" fillId="0" borderId="2" xfId="0" applyFont="1" applyFill="1" applyBorder="1" applyAlignment="1">
      <alignment horizontal="right" vertical="center" wrapText="1"/>
    </xf>
    <xf numFmtId="0" fontId="24" fillId="0" borderId="0" xfId="0" applyFont="1" applyFill="1" applyBorder="1" applyAlignment="1">
      <alignment vertical="center" wrapText="1"/>
    </xf>
    <xf numFmtId="0" fontId="24" fillId="0" borderId="6" xfId="0" applyFont="1" applyFill="1" applyBorder="1" applyAlignment="1">
      <alignment vertical="center" wrapText="1"/>
    </xf>
    <xf numFmtId="0" fontId="24" fillId="0" borderId="30" xfId="0" applyFont="1" applyFill="1" applyBorder="1" applyAlignment="1">
      <alignment vertical="center" wrapText="1"/>
    </xf>
    <xf numFmtId="0" fontId="24" fillId="0" borderId="8" xfId="0" applyFont="1" applyFill="1" applyBorder="1" applyAlignment="1">
      <alignment vertical="center" wrapText="1"/>
    </xf>
    <xf numFmtId="0" fontId="24" fillId="0" borderId="2" xfId="0" applyFont="1" applyFill="1" applyBorder="1" applyAlignment="1">
      <alignment vertical="center" wrapText="1"/>
    </xf>
    <xf numFmtId="0" fontId="26" fillId="0"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6"/>
  <sheetViews>
    <sheetView tabSelected="1" zoomScaleNormal="100" workbookViewId="0">
      <selection activeCell="H121" sqref="H121"/>
    </sheetView>
  </sheetViews>
  <sheetFormatPr defaultRowHeight="13" x14ac:dyDescent="0.3"/>
  <cols>
    <col min="1" max="1" width="13.19921875" customWidth="1"/>
    <col min="2" max="2" width="10" customWidth="1"/>
    <col min="3" max="3" width="7.5" customWidth="1"/>
    <col min="4" max="4" width="11" customWidth="1"/>
    <col min="5" max="5" width="8.5" customWidth="1"/>
    <col min="6" max="6" width="6.69921875" customWidth="1"/>
    <col min="7" max="8" width="9.5" customWidth="1"/>
    <col min="9" max="9" width="6.796875" customWidth="1"/>
    <col min="10" max="10" width="9.69921875" customWidth="1"/>
    <col min="11" max="11" width="9.296875" customWidth="1"/>
    <col min="12" max="12" width="4.796875" customWidth="1"/>
    <col min="13" max="13" width="7" bestFit="1" customWidth="1"/>
    <col min="14" max="14" width="12.296875" customWidth="1"/>
    <col min="15" max="15" width="12.796875" customWidth="1"/>
    <col min="16" max="16" width="8.796875" customWidth="1"/>
    <col min="17" max="17" width="12.69921875" customWidth="1"/>
  </cols>
  <sheetData>
    <row r="1" spans="1:16" ht="17" x14ac:dyDescent="0.3">
      <c r="N1" s="2" t="s">
        <v>1</v>
      </c>
      <c r="P1" s="2"/>
    </row>
    <row r="2" spans="1:16" ht="15.5" x14ac:dyDescent="0.3">
      <c r="N2" s="4" t="s">
        <v>107</v>
      </c>
      <c r="P2" s="4"/>
    </row>
    <row r="3" spans="1:16" ht="17" x14ac:dyDescent="0.3">
      <c r="O3" s="2"/>
      <c r="P3" s="2"/>
    </row>
    <row r="4" spans="1:16" ht="15.5" x14ac:dyDescent="0.3">
      <c r="D4" s="3" t="s">
        <v>106</v>
      </c>
    </row>
    <row r="6" spans="1:16" ht="15.5" x14ac:dyDescent="0.3">
      <c r="B6" s="3" t="s">
        <v>2</v>
      </c>
      <c r="G6" s="3" t="s">
        <v>108</v>
      </c>
    </row>
    <row r="7" spans="1:16" ht="13.5" thickBot="1" x14ac:dyDescent="0.35"/>
    <row r="8" spans="1:16" ht="15" customHeight="1" thickBot="1" x14ac:dyDescent="0.35">
      <c r="A8" s="51"/>
      <c r="B8" s="42" t="s">
        <v>3</v>
      </c>
      <c r="C8" s="43"/>
      <c r="D8" s="44"/>
      <c r="E8" s="42" t="s">
        <v>4</v>
      </c>
      <c r="F8" s="43"/>
      <c r="G8" s="44"/>
      <c r="H8" s="42" t="s">
        <v>5</v>
      </c>
      <c r="I8" s="43"/>
      <c r="J8" s="44"/>
      <c r="K8" s="42" t="s">
        <v>6</v>
      </c>
      <c r="L8" s="43"/>
      <c r="M8" s="43"/>
      <c r="N8" s="44"/>
    </row>
    <row r="9" spans="1:16" ht="46.5" thickBot="1" x14ac:dyDescent="0.35">
      <c r="A9" s="52"/>
      <c r="B9" s="6" t="s">
        <v>7</v>
      </c>
      <c r="C9" s="6" t="s">
        <v>0</v>
      </c>
      <c r="D9" s="6" t="s">
        <v>8</v>
      </c>
      <c r="E9" s="6" t="s">
        <v>7</v>
      </c>
      <c r="F9" s="6" t="s">
        <v>0</v>
      </c>
      <c r="G9" s="6" t="s">
        <v>8</v>
      </c>
      <c r="H9" s="6" t="s">
        <v>7</v>
      </c>
      <c r="I9" s="6" t="s">
        <v>0</v>
      </c>
      <c r="J9" s="6" t="s">
        <v>8</v>
      </c>
      <c r="K9" s="6" t="s">
        <v>9</v>
      </c>
      <c r="L9" s="6" t="s">
        <v>10</v>
      </c>
      <c r="M9" s="6" t="s">
        <v>0</v>
      </c>
      <c r="N9" s="7" t="s">
        <v>8</v>
      </c>
    </row>
    <row r="10" spans="1:16" ht="14.25" customHeight="1" x14ac:dyDescent="0.3">
      <c r="A10" s="8" t="s">
        <v>11</v>
      </c>
      <c r="B10" s="49"/>
      <c r="C10" s="49"/>
      <c r="D10" s="51"/>
      <c r="E10" s="49"/>
      <c r="F10" s="49"/>
      <c r="G10" s="51"/>
      <c r="H10" s="49"/>
      <c r="I10" s="49"/>
      <c r="J10" s="51"/>
      <c r="K10" s="51"/>
      <c r="L10" s="49"/>
      <c r="M10" s="49"/>
      <c r="N10" s="51"/>
    </row>
    <row r="11" spans="1:16" ht="19.5" customHeight="1" thickBot="1" x14ac:dyDescent="0.35">
      <c r="A11" s="9" t="s">
        <v>12</v>
      </c>
      <c r="B11" s="50"/>
      <c r="C11" s="50"/>
      <c r="D11" s="52"/>
      <c r="E11" s="50"/>
      <c r="F11" s="50"/>
      <c r="G11" s="52"/>
      <c r="H11" s="50"/>
      <c r="I11" s="50"/>
      <c r="J11" s="52"/>
      <c r="K11" s="52"/>
      <c r="L11" s="50"/>
      <c r="M11" s="50"/>
      <c r="N11" s="52"/>
    </row>
    <row r="12" spans="1:16" ht="15" thickBot="1" x14ac:dyDescent="0.35">
      <c r="A12" s="9">
        <v>1</v>
      </c>
      <c r="B12" s="10"/>
      <c r="C12" s="11"/>
      <c r="D12" s="10"/>
      <c r="E12" s="11"/>
      <c r="F12" s="11"/>
      <c r="G12" s="10"/>
      <c r="H12" s="11"/>
      <c r="I12" s="12"/>
      <c r="J12" s="10"/>
      <c r="K12" s="10"/>
      <c r="L12" s="11"/>
      <c r="M12" s="11"/>
      <c r="N12" s="13"/>
    </row>
    <row r="13" spans="1:16" ht="15" thickBot="1" x14ac:dyDescent="0.35">
      <c r="A13" s="9">
        <v>2</v>
      </c>
      <c r="B13" s="10"/>
      <c r="C13" s="11"/>
      <c r="D13" s="10"/>
      <c r="E13" s="11"/>
      <c r="F13" s="11"/>
      <c r="G13" s="10"/>
      <c r="H13" s="11"/>
      <c r="I13" s="11"/>
      <c r="J13" s="10"/>
      <c r="K13" s="10"/>
      <c r="L13" s="11"/>
      <c r="M13" s="11"/>
      <c r="N13" s="13"/>
    </row>
    <row r="14" spans="1:16" ht="15" thickBot="1" x14ac:dyDescent="0.35">
      <c r="A14" s="6" t="s">
        <v>13</v>
      </c>
      <c r="B14" s="10"/>
      <c r="C14" s="11"/>
      <c r="D14" s="10"/>
      <c r="E14" s="11"/>
      <c r="F14" s="11"/>
      <c r="G14" s="10"/>
      <c r="H14" s="11"/>
      <c r="I14" s="11"/>
      <c r="J14" s="10"/>
      <c r="K14" s="10"/>
      <c r="L14" s="11"/>
      <c r="M14" s="11"/>
      <c r="N14" s="13"/>
    </row>
    <row r="15" spans="1:16" ht="23.5" thickBot="1" x14ac:dyDescent="0.35">
      <c r="A15" s="14" t="s">
        <v>14</v>
      </c>
      <c r="B15" s="10"/>
      <c r="C15" s="11"/>
      <c r="D15" s="10"/>
      <c r="E15" s="11"/>
      <c r="F15" s="11"/>
      <c r="G15" s="10"/>
      <c r="H15" s="11"/>
      <c r="I15" s="11"/>
      <c r="J15" s="10"/>
      <c r="K15" s="10"/>
      <c r="L15" s="11"/>
      <c r="M15" s="11"/>
      <c r="N15" s="13"/>
    </row>
    <row r="16" spans="1:16" ht="16.5" customHeight="1" x14ac:dyDescent="0.3">
      <c r="A16" s="8" t="s">
        <v>15</v>
      </c>
      <c r="B16" s="51"/>
      <c r="C16" s="49"/>
      <c r="D16" s="51"/>
      <c r="E16" s="49"/>
      <c r="F16" s="49"/>
      <c r="G16" s="51"/>
      <c r="H16" s="49"/>
      <c r="I16" s="49"/>
      <c r="J16" s="51"/>
      <c r="K16" s="51"/>
      <c r="L16" s="49"/>
      <c r="M16" s="49"/>
      <c r="N16" s="51"/>
    </row>
    <row r="17" spans="1:17" ht="13.5" customHeight="1" thickBot="1" x14ac:dyDescent="0.35">
      <c r="A17" s="9" t="s">
        <v>16</v>
      </c>
      <c r="B17" s="52"/>
      <c r="C17" s="50"/>
      <c r="D17" s="52"/>
      <c r="E17" s="50"/>
      <c r="F17" s="50"/>
      <c r="G17" s="52"/>
      <c r="H17" s="50"/>
      <c r="I17" s="50"/>
      <c r="J17" s="52"/>
      <c r="K17" s="52"/>
      <c r="L17" s="50"/>
      <c r="M17" s="50"/>
      <c r="N17" s="52"/>
    </row>
    <row r="18" spans="1:17" ht="23.5" thickBot="1" x14ac:dyDescent="0.35">
      <c r="A18" s="120" t="s">
        <v>104</v>
      </c>
      <c r="B18" s="121">
        <v>60</v>
      </c>
      <c r="C18" s="122">
        <v>14300</v>
      </c>
      <c r="D18" s="121">
        <f>B18*C18</f>
        <v>858000</v>
      </c>
      <c r="E18" s="122">
        <f>ROUND(B18*20%,0)</f>
        <v>12</v>
      </c>
      <c r="F18" s="122">
        <f>ROUND(C18*85%,0)</f>
        <v>12155</v>
      </c>
      <c r="G18" s="121">
        <f>E18*F18</f>
        <v>145860</v>
      </c>
      <c r="H18" s="122">
        <f>ROUND(B18*25%,0)</f>
        <v>15</v>
      </c>
      <c r="I18" s="122">
        <f>ROUND(C18*115%,0)</f>
        <v>16445</v>
      </c>
      <c r="J18" s="121">
        <f>H18*I18</f>
        <v>246675</v>
      </c>
      <c r="K18" s="121">
        <f>B18+E18-H18</f>
        <v>57</v>
      </c>
      <c r="L18" s="123" t="s">
        <v>102</v>
      </c>
      <c r="M18" s="122">
        <f>I18</f>
        <v>16445</v>
      </c>
      <c r="N18" s="124">
        <f>K18*M18</f>
        <v>937365</v>
      </c>
    </row>
    <row r="19" spans="1:17" ht="19.5" customHeight="1" thickBot="1" x14ac:dyDescent="0.35">
      <c r="A19" s="120" t="s">
        <v>105</v>
      </c>
      <c r="B19" s="121">
        <v>650</v>
      </c>
      <c r="C19" s="122">
        <v>550</v>
      </c>
      <c r="D19" s="121">
        <f>B19*C19</f>
        <v>357500</v>
      </c>
      <c r="E19" s="122">
        <f>ROUND(B19*20%,0)</f>
        <v>130</v>
      </c>
      <c r="F19" s="122">
        <f>ROUND(C19*85%,0)</f>
        <v>468</v>
      </c>
      <c r="G19" s="121">
        <f>E19*F19</f>
        <v>60840</v>
      </c>
      <c r="H19" s="122">
        <f>ROUND(B19*25%,0)</f>
        <v>163</v>
      </c>
      <c r="I19" s="122">
        <f>ROUND(C19*115%,0)</f>
        <v>633</v>
      </c>
      <c r="J19" s="121">
        <f>H19*I19</f>
        <v>103179</v>
      </c>
      <c r="K19" s="121">
        <f t="shared" ref="K19" si="0">B19+E19-H19</f>
        <v>617</v>
      </c>
      <c r="L19" s="123" t="s">
        <v>102</v>
      </c>
      <c r="M19" s="122">
        <f>I19</f>
        <v>633</v>
      </c>
      <c r="N19" s="124">
        <f>K19*M19</f>
        <v>390561</v>
      </c>
      <c r="O19">
        <f>N18+N19</f>
        <v>1327926</v>
      </c>
      <c r="Q19">
        <f>N18+N19</f>
        <v>1327926</v>
      </c>
    </row>
    <row r="20" spans="1:17" ht="23.5" thickBot="1" x14ac:dyDescent="0.35">
      <c r="A20" s="8" t="s">
        <v>17</v>
      </c>
      <c r="B20" s="11"/>
      <c r="C20" s="11"/>
      <c r="D20" s="10"/>
      <c r="E20" s="11"/>
      <c r="F20" s="11"/>
      <c r="G20" s="10"/>
      <c r="H20" s="11"/>
      <c r="I20" s="11"/>
      <c r="J20" s="10"/>
      <c r="K20" s="10"/>
      <c r="L20" s="11"/>
      <c r="M20" s="11"/>
      <c r="N20" s="13"/>
    </row>
    <row r="21" spans="1:17" ht="15" thickBot="1" x14ac:dyDescent="0.35">
      <c r="A21" s="6" t="s">
        <v>13</v>
      </c>
      <c r="B21" s="11"/>
      <c r="C21" s="11"/>
      <c r="D21" s="10"/>
      <c r="E21" s="11"/>
      <c r="F21" s="11"/>
      <c r="G21" s="10"/>
      <c r="H21" s="11"/>
      <c r="I21" s="11"/>
      <c r="J21" s="10"/>
      <c r="K21" s="10"/>
      <c r="L21" s="11"/>
      <c r="M21" s="11"/>
      <c r="N21" s="13"/>
    </row>
    <row r="22" spans="1:17" ht="23.5" thickBot="1" x14ac:dyDescent="0.35">
      <c r="A22" s="14" t="s">
        <v>18</v>
      </c>
      <c r="B22" s="11"/>
      <c r="C22" s="11"/>
      <c r="D22" s="10"/>
      <c r="E22" s="11"/>
      <c r="F22" s="11"/>
      <c r="G22" s="10"/>
      <c r="H22" s="11"/>
      <c r="I22" s="11"/>
      <c r="J22" s="10"/>
      <c r="K22" s="10"/>
      <c r="L22" s="11"/>
      <c r="M22" s="11"/>
      <c r="N22" s="13"/>
    </row>
    <row r="23" spans="1:17" ht="15" thickBot="1" x14ac:dyDescent="0.35">
      <c r="A23" s="6" t="s">
        <v>13</v>
      </c>
      <c r="B23" s="11"/>
      <c r="C23" s="11"/>
      <c r="D23" s="10"/>
      <c r="E23" s="11"/>
      <c r="F23" s="11"/>
      <c r="G23" s="10"/>
      <c r="H23" s="11"/>
      <c r="I23" s="11"/>
      <c r="J23" s="10"/>
      <c r="K23" s="10"/>
      <c r="L23" s="11"/>
      <c r="M23" s="11"/>
      <c r="N23" s="13"/>
    </row>
    <row r="24" spans="1:17" ht="14.5" x14ac:dyDescent="0.3">
      <c r="A24" s="38"/>
      <c r="B24" s="39"/>
      <c r="C24" s="39"/>
      <c r="D24" s="5"/>
      <c r="E24" s="39"/>
      <c r="F24" s="39"/>
      <c r="G24" s="5"/>
      <c r="H24" s="39"/>
      <c r="I24" s="39"/>
      <c r="J24" s="5"/>
      <c r="K24" s="5"/>
      <c r="L24" s="39"/>
      <c r="M24" s="39"/>
      <c r="N24" s="5"/>
    </row>
    <row r="25" spans="1:17" ht="14.5" x14ac:dyDescent="0.3">
      <c r="A25" s="38"/>
      <c r="B25" s="39"/>
      <c r="C25" s="39"/>
      <c r="D25" s="5"/>
      <c r="E25" s="39"/>
      <c r="F25" s="39"/>
      <c r="G25" s="5"/>
      <c r="H25" s="39"/>
      <c r="I25" s="39"/>
      <c r="J25" s="5"/>
      <c r="K25" s="5"/>
      <c r="L25" s="39"/>
      <c r="M25" s="39"/>
      <c r="N25" s="5"/>
    </row>
    <row r="27" spans="1:17" ht="14.5" x14ac:dyDescent="0.3">
      <c r="B27" s="15" t="s">
        <v>19</v>
      </c>
      <c r="F27" s="15" t="s">
        <v>20</v>
      </c>
    </row>
    <row r="28" spans="1:17" ht="14.5" x14ac:dyDescent="0.3">
      <c r="F28" s="15" t="s">
        <v>21</v>
      </c>
    </row>
    <row r="29" spans="1:17" ht="13.5" thickBot="1" x14ac:dyDescent="0.35"/>
    <row r="30" spans="1:17" ht="58" customHeight="1" thickBot="1" x14ac:dyDescent="0.35">
      <c r="A30" s="18"/>
      <c r="B30" s="61" t="s">
        <v>22</v>
      </c>
      <c r="C30" s="117"/>
      <c r="D30" s="117"/>
      <c r="E30" s="117"/>
      <c r="F30" s="117"/>
      <c r="G30" s="62"/>
      <c r="H30" s="43" t="s">
        <v>23</v>
      </c>
      <c r="I30" s="44"/>
      <c r="J30" s="42" t="s">
        <v>24</v>
      </c>
      <c r="K30" s="44"/>
      <c r="L30" s="42" t="s">
        <v>25</v>
      </c>
      <c r="M30" s="44"/>
      <c r="N30" s="42" t="s">
        <v>26</v>
      </c>
      <c r="O30" s="44"/>
    </row>
    <row r="31" spans="1:17" ht="44" thickBot="1" x14ac:dyDescent="0.35">
      <c r="A31" s="18"/>
      <c r="B31" s="118"/>
      <c r="C31" s="54"/>
      <c r="D31" s="54"/>
      <c r="E31" s="54"/>
      <c r="F31" s="54"/>
      <c r="G31" s="119"/>
      <c r="H31" s="19" t="s">
        <v>27</v>
      </c>
      <c r="I31" s="10" t="s">
        <v>28</v>
      </c>
      <c r="J31" s="10" t="s">
        <v>27</v>
      </c>
      <c r="K31" s="10" t="s">
        <v>28</v>
      </c>
      <c r="L31" s="10" t="s">
        <v>27</v>
      </c>
      <c r="M31" s="10" t="s">
        <v>28</v>
      </c>
      <c r="N31" s="10" t="s">
        <v>27</v>
      </c>
      <c r="O31" s="13" t="s">
        <v>28</v>
      </c>
    </row>
    <row r="32" spans="1:17" ht="15" thickBot="1" x14ac:dyDescent="0.35">
      <c r="A32" s="5"/>
      <c r="B32" s="55" t="s">
        <v>29</v>
      </c>
      <c r="C32" s="102"/>
      <c r="D32" s="102"/>
      <c r="E32" s="102"/>
      <c r="F32" s="102"/>
      <c r="G32" s="56"/>
      <c r="H32" s="20"/>
      <c r="I32" s="11"/>
      <c r="J32" s="10"/>
      <c r="K32" s="11"/>
      <c r="L32" s="11"/>
      <c r="M32" s="10"/>
      <c r="N32" s="11"/>
      <c r="O32" s="16"/>
    </row>
    <row r="33" spans="1:15" ht="15" thickBot="1" x14ac:dyDescent="0.35">
      <c r="A33" s="5"/>
      <c r="B33" s="55" t="s">
        <v>30</v>
      </c>
      <c r="C33" s="102"/>
      <c r="D33" s="102"/>
      <c r="E33" s="102"/>
      <c r="F33" s="102"/>
      <c r="G33" s="56"/>
      <c r="H33" s="20"/>
      <c r="I33" s="11"/>
      <c r="J33" s="10"/>
      <c r="K33" s="11"/>
      <c r="L33" s="11"/>
      <c r="M33" s="10"/>
      <c r="N33" s="11"/>
      <c r="O33" s="16"/>
    </row>
    <row r="34" spans="1:15" ht="15" thickBot="1" x14ac:dyDescent="0.35">
      <c r="A34" s="5"/>
      <c r="B34" s="55" t="s">
        <v>31</v>
      </c>
      <c r="C34" s="102"/>
      <c r="D34" s="102"/>
      <c r="E34" s="102"/>
      <c r="F34" s="102"/>
      <c r="G34" s="56"/>
      <c r="H34" s="20"/>
      <c r="I34" s="11"/>
      <c r="J34" s="10"/>
      <c r="K34" s="11"/>
      <c r="L34" s="11"/>
      <c r="M34" s="10"/>
      <c r="N34" s="11"/>
      <c r="O34" s="16"/>
    </row>
    <row r="35" spans="1:15" ht="15" thickBot="1" x14ac:dyDescent="0.35">
      <c r="A35" s="5"/>
      <c r="B35" s="66" t="s">
        <v>32</v>
      </c>
      <c r="C35" s="93"/>
      <c r="D35" s="93"/>
      <c r="E35" s="93"/>
      <c r="F35" s="93"/>
      <c r="G35" s="67"/>
      <c r="H35" s="19"/>
      <c r="I35" s="10"/>
      <c r="J35" s="10"/>
      <c r="K35" s="10"/>
      <c r="L35" s="10"/>
      <c r="M35" s="10"/>
      <c r="N35" s="10"/>
      <c r="O35" s="13"/>
    </row>
    <row r="37" spans="1:15" ht="14.5" x14ac:dyDescent="0.3">
      <c r="B37" s="21" t="s">
        <v>33</v>
      </c>
    </row>
    <row r="39" spans="1:15" ht="14.5" x14ac:dyDescent="0.3">
      <c r="C39" s="15" t="s">
        <v>34</v>
      </c>
    </row>
    <row r="40" spans="1:15" ht="13.5" thickBot="1" x14ac:dyDescent="0.35"/>
    <row r="41" spans="1:15" ht="15" thickBot="1" x14ac:dyDescent="0.35">
      <c r="B41" s="111" t="s">
        <v>35</v>
      </c>
      <c r="C41" s="112"/>
      <c r="D41" s="112"/>
      <c r="E41" s="112"/>
      <c r="F41" s="112"/>
      <c r="G41" s="113"/>
      <c r="H41" s="101" t="s">
        <v>36</v>
      </c>
      <c r="I41" s="101"/>
      <c r="J41" s="101"/>
      <c r="K41" s="101"/>
      <c r="L41" s="55" t="s">
        <v>37</v>
      </c>
      <c r="M41" s="102"/>
      <c r="N41" s="102"/>
      <c r="O41" s="56"/>
    </row>
    <row r="42" spans="1:15" ht="15" thickBot="1" x14ac:dyDescent="0.35">
      <c r="B42" s="114"/>
      <c r="C42" s="96"/>
      <c r="D42" s="96"/>
      <c r="E42" s="96"/>
      <c r="F42" s="96"/>
      <c r="G42" s="115"/>
      <c r="H42" s="109" t="s">
        <v>27</v>
      </c>
      <c r="I42" s="110"/>
      <c r="J42" s="109" t="s">
        <v>28</v>
      </c>
      <c r="K42" s="110"/>
      <c r="L42" s="109" t="s">
        <v>27</v>
      </c>
      <c r="M42" s="110"/>
      <c r="N42" s="109" t="s">
        <v>28</v>
      </c>
      <c r="O42" s="110"/>
    </row>
    <row r="43" spans="1:15" ht="15" thickBot="1" x14ac:dyDescent="0.35">
      <c r="B43" s="45" t="s">
        <v>103</v>
      </c>
      <c r="C43" s="116"/>
      <c r="D43" s="116"/>
      <c r="E43" s="116"/>
      <c r="F43" s="116"/>
      <c r="G43" s="46"/>
      <c r="H43" s="125">
        <v>9</v>
      </c>
      <c r="I43" s="126"/>
      <c r="J43" s="125">
        <v>523400</v>
      </c>
      <c r="K43" s="126"/>
      <c r="L43" s="45"/>
      <c r="M43" s="46"/>
      <c r="N43" s="45"/>
      <c r="O43" s="46"/>
    </row>
    <row r="44" spans="1:15" ht="15" thickBot="1" x14ac:dyDescent="0.35">
      <c r="B44" s="68"/>
      <c r="C44" s="104"/>
      <c r="D44" s="104"/>
      <c r="E44" s="104"/>
      <c r="F44" s="104"/>
      <c r="G44" s="105"/>
      <c r="H44" s="106"/>
      <c r="I44" s="105"/>
      <c r="J44" s="106"/>
      <c r="K44" s="105"/>
      <c r="L44" s="106"/>
      <c r="M44" s="105"/>
      <c r="N44" s="106"/>
      <c r="O44" s="69"/>
    </row>
    <row r="45" spans="1:15" ht="15" thickBot="1" x14ac:dyDescent="0.35">
      <c r="B45" s="15" t="s">
        <v>38</v>
      </c>
    </row>
    <row r="46" spans="1:15" ht="15" thickBot="1" x14ac:dyDescent="0.35">
      <c r="B46" s="55"/>
      <c r="C46" s="102"/>
      <c r="D46" s="102"/>
      <c r="E46" s="56"/>
      <c r="F46" s="55" t="s">
        <v>39</v>
      </c>
      <c r="G46" s="102"/>
      <c r="H46" s="56"/>
      <c r="I46" s="101" t="s">
        <v>40</v>
      </c>
      <c r="J46" s="101"/>
      <c r="K46" s="103"/>
      <c r="L46" s="100" t="s">
        <v>41</v>
      </c>
      <c r="M46" s="101"/>
      <c r="N46" s="101"/>
      <c r="O46" s="65"/>
    </row>
    <row r="47" spans="1:15" ht="15" thickBot="1" x14ac:dyDescent="0.35">
      <c r="B47" s="107" t="s">
        <v>42</v>
      </c>
      <c r="C47" s="108"/>
      <c r="D47" s="108"/>
      <c r="E47" s="108"/>
      <c r="F47" s="89"/>
      <c r="G47" s="90"/>
      <c r="H47" s="91"/>
      <c r="I47" s="89"/>
      <c r="J47" s="90"/>
      <c r="K47" s="91"/>
      <c r="L47" s="89"/>
      <c r="M47" s="90"/>
      <c r="N47" s="90"/>
      <c r="O47" s="91"/>
    </row>
    <row r="48" spans="1:15" ht="15" thickBot="1" x14ac:dyDescent="0.35">
      <c r="B48" s="84" t="s">
        <v>43</v>
      </c>
      <c r="C48" s="85"/>
      <c r="D48" s="85"/>
      <c r="E48" s="86"/>
      <c r="F48" s="89"/>
      <c r="G48" s="90"/>
      <c r="H48" s="91"/>
      <c r="I48" s="89"/>
      <c r="J48" s="90"/>
      <c r="K48" s="91"/>
      <c r="L48" s="89"/>
      <c r="M48" s="90"/>
      <c r="N48" s="90"/>
      <c r="O48" s="91"/>
    </row>
    <row r="49" spans="2:15" ht="15" customHeight="1" thickBot="1" x14ac:dyDescent="0.35">
      <c r="B49" s="84" t="s">
        <v>44</v>
      </c>
      <c r="C49" s="87"/>
      <c r="D49" s="87"/>
      <c r="E49" s="88"/>
      <c r="F49" s="89"/>
      <c r="G49" s="90"/>
      <c r="H49" s="91"/>
      <c r="I49" s="89"/>
      <c r="J49" s="90"/>
      <c r="K49" s="91"/>
      <c r="L49" s="89"/>
      <c r="M49" s="90"/>
      <c r="N49" s="90"/>
      <c r="O49" s="91"/>
    </row>
    <row r="50" spans="2:15" ht="15" customHeight="1" thickBot="1" x14ac:dyDescent="0.35">
      <c r="B50" s="84" t="s">
        <v>45</v>
      </c>
      <c r="C50" s="87"/>
      <c r="D50" s="87"/>
      <c r="E50" s="88"/>
      <c r="F50" s="89"/>
      <c r="G50" s="90"/>
      <c r="H50" s="91"/>
      <c r="I50" s="89"/>
      <c r="J50" s="90"/>
      <c r="K50" s="91"/>
      <c r="L50" s="89"/>
      <c r="M50" s="90"/>
      <c r="N50" s="90"/>
      <c r="O50" s="91"/>
    </row>
    <row r="51" spans="2:15" ht="15" customHeight="1" thickBot="1" x14ac:dyDescent="0.35">
      <c r="B51" s="37" t="s">
        <v>46</v>
      </c>
      <c r="C51" s="26"/>
      <c r="D51" s="26"/>
      <c r="E51" s="27"/>
      <c r="F51" s="92" t="s">
        <v>47</v>
      </c>
      <c r="G51" s="93"/>
      <c r="H51" s="94"/>
      <c r="I51" s="95" t="s">
        <v>48</v>
      </c>
      <c r="J51" s="96"/>
      <c r="K51" s="96"/>
      <c r="L51" s="97" t="s">
        <v>49</v>
      </c>
      <c r="M51" s="98"/>
      <c r="N51" s="98"/>
      <c r="O51" s="99"/>
    </row>
    <row r="53" spans="2:15" x14ac:dyDescent="0.3">
      <c r="B53" s="22" t="s">
        <v>50</v>
      </c>
    </row>
    <row r="54" spans="2:15" x14ac:dyDescent="0.3">
      <c r="B54" s="23" t="s">
        <v>51</v>
      </c>
    </row>
    <row r="55" spans="2:15" ht="13.5" customHeight="1" x14ac:dyDescent="0.3">
      <c r="B55" s="25" t="s">
        <v>53</v>
      </c>
      <c r="C55" s="81" t="s">
        <v>52</v>
      </c>
      <c r="D55" s="81"/>
      <c r="E55" s="81"/>
      <c r="F55" s="81"/>
      <c r="G55" s="81"/>
      <c r="H55" s="81"/>
      <c r="I55" s="81"/>
      <c r="J55" s="81"/>
      <c r="K55" s="81"/>
      <c r="L55" s="81"/>
      <c r="M55" s="81"/>
      <c r="N55" s="81"/>
      <c r="O55" s="81"/>
    </row>
    <row r="56" spans="2:15" x14ac:dyDescent="0.3">
      <c r="C56" s="81"/>
      <c r="D56" s="81"/>
      <c r="E56" s="81"/>
      <c r="F56" s="81"/>
      <c r="G56" s="81"/>
      <c r="H56" s="81"/>
      <c r="I56" s="81"/>
      <c r="J56" s="81"/>
      <c r="K56" s="81"/>
      <c r="L56" s="81"/>
      <c r="M56" s="81"/>
      <c r="N56" s="81"/>
      <c r="O56" s="81"/>
    </row>
    <row r="57" spans="2:15" x14ac:dyDescent="0.3">
      <c r="C57" s="81"/>
      <c r="D57" s="81"/>
      <c r="E57" s="81"/>
      <c r="F57" s="81"/>
      <c r="G57" s="81"/>
      <c r="H57" s="81"/>
      <c r="I57" s="81"/>
      <c r="J57" s="81"/>
      <c r="K57" s="81"/>
      <c r="L57" s="81"/>
      <c r="M57" s="81"/>
      <c r="N57" s="81"/>
      <c r="O57" s="81"/>
    </row>
    <row r="58" spans="2:15" x14ac:dyDescent="0.3">
      <c r="C58" s="81"/>
      <c r="D58" s="81"/>
      <c r="E58" s="81"/>
      <c r="F58" s="81"/>
      <c r="G58" s="81"/>
      <c r="H58" s="81"/>
      <c r="I58" s="81"/>
      <c r="J58" s="81"/>
      <c r="K58" s="81"/>
      <c r="L58" s="81"/>
      <c r="M58" s="81"/>
      <c r="N58" s="81"/>
      <c r="O58" s="81"/>
    </row>
    <row r="59" spans="2:15" ht="15.5" x14ac:dyDescent="0.3">
      <c r="B59" s="25" t="s">
        <v>54</v>
      </c>
      <c r="C59" s="82" t="s">
        <v>55</v>
      </c>
      <c r="D59" s="82"/>
      <c r="E59" s="82"/>
      <c r="F59" s="82"/>
      <c r="G59" s="82"/>
      <c r="H59" s="82"/>
      <c r="I59" s="82"/>
      <c r="J59" s="82"/>
      <c r="K59" s="82"/>
      <c r="L59" s="82"/>
      <c r="M59" s="82"/>
      <c r="N59" s="82"/>
      <c r="O59" s="82"/>
    </row>
    <row r="60" spans="2:15" ht="15.5" x14ac:dyDescent="0.3">
      <c r="B60" s="25" t="s">
        <v>60</v>
      </c>
      <c r="C60" s="82" t="s">
        <v>56</v>
      </c>
      <c r="D60" s="82"/>
      <c r="E60" s="82"/>
      <c r="F60" s="82"/>
      <c r="G60" s="82"/>
      <c r="H60" s="82"/>
      <c r="I60" s="82"/>
      <c r="J60" s="82"/>
      <c r="K60" s="82"/>
      <c r="L60" s="82"/>
      <c r="M60" s="82"/>
      <c r="N60" s="82"/>
      <c r="O60" s="82"/>
    </row>
    <row r="61" spans="2:15" ht="14.5" customHeight="1" x14ac:dyDescent="0.3">
      <c r="B61" s="24" t="s">
        <v>61</v>
      </c>
      <c r="C61" s="83" t="s">
        <v>57</v>
      </c>
      <c r="D61" s="83"/>
      <c r="E61" s="83"/>
      <c r="F61" s="83"/>
      <c r="G61" s="83"/>
      <c r="H61" s="83"/>
      <c r="I61" s="83"/>
      <c r="J61" s="83"/>
      <c r="K61" s="83"/>
      <c r="L61" s="83"/>
      <c r="M61" s="83"/>
      <c r="N61" s="83"/>
      <c r="O61" s="83"/>
    </row>
    <row r="62" spans="2:15" x14ac:dyDescent="0.3">
      <c r="C62" s="83"/>
      <c r="D62" s="83"/>
      <c r="E62" s="83"/>
      <c r="F62" s="83"/>
      <c r="G62" s="83"/>
      <c r="H62" s="83"/>
      <c r="I62" s="83"/>
      <c r="J62" s="83"/>
      <c r="K62" s="83"/>
      <c r="L62" s="83"/>
      <c r="M62" s="83"/>
      <c r="N62" s="83"/>
      <c r="O62" s="83"/>
    </row>
    <row r="63" spans="2:15" ht="15.5" x14ac:dyDescent="0.3">
      <c r="B63" s="24" t="s">
        <v>62</v>
      </c>
      <c r="C63" s="82" t="s">
        <v>58</v>
      </c>
      <c r="D63" s="82"/>
      <c r="E63" s="82"/>
      <c r="F63" s="82"/>
      <c r="G63" s="82"/>
      <c r="H63" s="82"/>
      <c r="I63" s="82"/>
      <c r="J63" s="82"/>
      <c r="K63" s="82"/>
      <c r="L63" s="82"/>
      <c r="M63" s="82"/>
      <c r="N63" s="82"/>
      <c r="O63" s="82"/>
    </row>
    <row r="64" spans="2:15" ht="15.65" customHeight="1" x14ac:dyDescent="0.3">
      <c r="B64" s="24" t="s">
        <v>63</v>
      </c>
      <c r="C64" s="81" t="s">
        <v>59</v>
      </c>
      <c r="D64" s="81"/>
      <c r="E64" s="81"/>
      <c r="F64" s="81"/>
      <c r="G64" s="81"/>
      <c r="H64" s="81"/>
      <c r="I64" s="81"/>
      <c r="J64" s="81"/>
      <c r="K64" s="81"/>
      <c r="L64" s="81"/>
      <c r="M64" s="81"/>
      <c r="N64" s="81"/>
      <c r="O64" s="81"/>
    </row>
    <row r="65" spans="2:15" ht="13" customHeight="1" x14ac:dyDescent="0.3">
      <c r="C65" s="81"/>
      <c r="D65" s="81"/>
      <c r="E65" s="81"/>
      <c r="F65" s="81"/>
      <c r="G65" s="81"/>
      <c r="H65" s="81"/>
      <c r="I65" s="81"/>
      <c r="J65" s="81"/>
      <c r="K65" s="81"/>
      <c r="L65" s="81"/>
      <c r="M65" s="81"/>
      <c r="N65" s="81"/>
      <c r="O65" s="81"/>
    </row>
    <row r="66" spans="2:15" ht="13" customHeight="1" x14ac:dyDescent="0.3">
      <c r="C66" s="81"/>
      <c r="D66" s="81"/>
      <c r="E66" s="81"/>
      <c r="F66" s="81"/>
      <c r="G66" s="81"/>
      <c r="H66" s="81"/>
      <c r="I66" s="81"/>
      <c r="J66" s="81"/>
      <c r="K66" s="81"/>
      <c r="L66" s="81"/>
      <c r="M66" s="81"/>
      <c r="N66" s="81"/>
      <c r="O66" s="81"/>
    </row>
    <row r="67" spans="2:15" x14ac:dyDescent="0.3">
      <c r="C67" s="81"/>
      <c r="D67" s="81"/>
      <c r="E67" s="81"/>
      <c r="F67" s="81"/>
      <c r="G67" s="81"/>
      <c r="H67" s="81"/>
      <c r="I67" s="81"/>
      <c r="J67" s="81"/>
      <c r="K67" s="81"/>
      <c r="L67" s="81"/>
      <c r="M67" s="81"/>
      <c r="N67" s="81"/>
      <c r="O67" s="81"/>
    </row>
    <row r="69" spans="2:15" x14ac:dyDescent="0.3">
      <c r="B69" s="78" t="s">
        <v>64</v>
      </c>
      <c r="C69" s="78"/>
    </row>
    <row r="70" spans="2:15" x14ac:dyDescent="0.3">
      <c r="B70" s="79" t="s">
        <v>65</v>
      </c>
      <c r="C70" s="79"/>
      <c r="D70" s="79"/>
    </row>
    <row r="72" spans="2:15" x14ac:dyDescent="0.3">
      <c r="B72" s="28" t="s">
        <v>67</v>
      </c>
      <c r="C72" s="80" t="s">
        <v>66</v>
      </c>
      <c r="D72" s="80"/>
      <c r="E72" s="80"/>
      <c r="F72" s="80"/>
      <c r="G72" s="80"/>
      <c r="H72" s="80"/>
      <c r="I72" s="80"/>
      <c r="J72" s="80"/>
      <c r="K72" s="80"/>
      <c r="L72" s="80"/>
      <c r="M72" s="80"/>
      <c r="N72" s="80"/>
      <c r="O72" s="80"/>
    </row>
    <row r="73" spans="2:15" x14ac:dyDescent="0.3">
      <c r="C73" s="80"/>
      <c r="D73" s="80"/>
      <c r="E73" s="80"/>
      <c r="F73" s="80"/>
      <c r="G73" s="80"/>
      <c r="H73" s="80"/>
      <c r="I73" s="80"/>
      <c r="J73" s="80"/>
      <c r="K73" s="80"/>
      <c r="L73" s="80"/>
      <c r="M73" s="80"/>
      <c r="N73" s="80"/>
      <c r="O73" s="80"/>
    </row>
    <row r="74" spans="2:15" x14ac:dyDescent="0.3">
      <c r="C74" s="80"/>
      <c r="D74" s="80"/>
      <c r="E74" s="80"/>
      <c r="F74" s="80"/>
      <c r="G74" s="80"/>
      <c r="H74" s="80"/>
      <c r="I74" s="80"/>
      <c r="J74" s="80"/>
      <c r="K74" s="80"/>
      <c r="L74" s="80"/>
      <c r="M74" s="80"/>
      <c r="N74" s="80"/>
      <c r="O74" s="80"/>
    </row>
    <row r="75" spans="2:15" x14ac:dyDescent="0.3">
      <c r="C75" s="29"/>
      <c r="D75" s="29"/>
      <c r="E75" s="29"/>
      <c r="F75" s="29"/>
      <c r="G75" s="29"/>
      <c r="H75" s="29"/>
      <c r="I75" s="29"/>
      <c r="J75" s="29"/>
      <c r="K75" s="29"/>
      <c r="L75" s="29"/>
      <c r="M75" s="29"/>
      <c r="N75" s="29"/>
      <c r="O75" s="29"/>
    </row>
    <row r="76" spans="2:15" x14ac:dyDescent="0.3">
      <c r="B76" s="28" t="s">
        <v>68</v>
      </c>
      <c r="C76" s="48" t="s">
        <v>69</v>
      </c>
      <c r="D76" s="48"/>
      <c r="E76" s="48"/>
      <c r="F76" s="48"/>
      <c r="G76" s="48"/>
      <c r="H76" s="48"/>
      <c r="I76" s="48"/>
      <c r="J76" s="48"/>
      <c r="K76" s="48"/>
      <c r="L76" s="48"/>
      <c r="M76" s="48"/>
      <c r="N76" s="48"/>
      <c r="O76" s="48"/>
    </row>
    <row r="77" spans="2:15" x14ac:dyDescent="0.3">
      <c r="C77" s="48"/>
      <c r="D77" s="48"/>
      <c r="E77" s="48"/>
      <c r="F77" s="48"/>
      <c r="G77" s="48"/>
      <c r="H77" s="48"/>
      <c r="I77" s="48"/>
      <c r="J77" s="48"/>
      <c r="K77" s="48"/>
      <c r="L77" s="48"/>
      <c r="M77" s="48"/>
      <c r="N77" s="48"/>
      <c r="O77" s="48"/>
    </row>
    <row r="78" spans="2:15" x14ac:dyDescent="0.3">
      <c r="C78" s="1"/>
      <c r="D78" s="1"/>
      <c r="E78" s="1"/>
      <c r="F78" s="1"/>
      <c r="G78" s="1"/>
      <c r="H78" s="1"/>
      <c r="I78" s="1"/>
      <c r="J78" s="1"/>
      <c r="K78" s="1"/>
      <c r="L78" s="1"/>
      <c r="M78" s="1"/>
      <c r="N78" s="1"/>
      <c r="O78" s="1"/>
    </row>
    <row r="79" spans="2:15" x14ac:dyDescent="0.3">
      <c r="B79" s="28" t="s">
        <v>70</v>
      </c>
      <c r="C79" s="47" t="s">
        <v>74</v>
      </c>
      <c r="D79" s="48"/>
      <c r="E79" s="48"/>
      <c r="F79" s="48"/>
      <c r="G79" s="48"/>
      <c r="H79" s="48"/>
      <c r="I79" s="48"/>
      <c r="J79" s="48"/>
      <c r="K79" s="48"/>
      <c r="L79" s="48"/>
      <c r="M79" s="48"/>
      <c r="N79" s="48"/>
      <c r="O79" s="48"/>
    </row>
    <row r="80" spans="2:15" x14ac:dyDescent="0.3">
      <c r="C80" s="48"/>
      <c r="D80" s="48"/>
      <c r="E80" s="48"/>
      <c r="F80" s="48"/>
      <c r="G80" s="48"/>
      <c r="H80" s="48"/>
      <c r="I80" s="48"/>
      <c r="J80" s="48"/>
      <c r="K80" s="48"/>
      <c r="L80" s="48"/>
      <c r="M80" s="48"/>
      <c r="N80" s="48"/>
      <c r="O80" s="48"/>
    </row>
    <row r="81" spans="2:15" x14ac:dyDescent="0.3">
      <c r="C81" s="1"/>
      <c r="D81" s="1"/>
      <c r="E81" s="1"/>
      <c r="F81" s="1"/>
      <c r="G81" s="1"/>
      <c r="H81" s="1"/>
      <c r="I81" s="1"/>
      <c r="J81" s="1"/>
      <c r="K81" s="1"/>
      <c r="L81" s="1"/>
      <c r="M81" s="1"/>
      <c r="N81" s="1"/>
      <c r="O81" s="1"/>
    </row>
    <row r="82" spans="2:15" x14ac:dyDescent="0.3">
      <c r="B82" s="28" t="s">
        <v>71</v>
      </c>
      <c r="C82" s="47" t="s">
        <v>75</v>
      </c>
      <c r="D82" s="48"/>
      <c r="E82" s="48"/>
      <c r="F82" s="48"/>
      <c r="G82" s="48"/>
      <c r="H82" s="48"/>
      <c r="I82" s="48"/>
      <c r="J82" s="48"/>
      <c r="K82" s="48"/>
      <c r="L82" s="48"/>
      <c r="M82" s="48"/>
      <c r="N82" s="48"/>
      <c r="O82" s="48"/>
    </row>
    <row r="83" spans="2:15" x14ac:dyDescent="0.3">
      <c r="C83" s="48"/>
      <c r="D83" s="48"/>
      <c r="E83" s="48"/>
      <c r="F83" s="48"/>
      <c r="G83" s="48"/>
      <c r="H83" s="48"/>
      <c r="I83" s="48"/>
      <c r="J83" s="48"/>
      <c r="K83" s="48"/>
      <c r="L83" s="48"/>
      <c r="M83" s="48"/>
      <c r="N83" s="48"/>
      <c r="O83" s="48"/>
    </row>
    <row r="84" spans="2:15" x14ac:dyDescent="0.3">
      <c r="C84" s="1"/>
      <c r="D84" s="1"/>
      <c r="E84" s="1"/>
      <c r="F84" s="1"/>
      <c r="G84" s="1"/>
      <c r="H84" s="1"/>
      <c r="I84" s="1"/>
      <c r="J84" s="1"/>
      <c r="K84" s="1"/>
      <c r="L84" s="1"/>
      <c r="M84" s="1"/>
      <c r="N84" s="1"/>
      <c r="O84" s="1"/>
    </row>
    <row r="85" spans="2:15" x14ac:dyDescent="0.3">
      <c r="B85" s="28" t="s">
        <v>72</v>
      </c>
      <c r="C85" s="47" t="s">
        <v>76</v>
      </c>
      <c r="D85" s="48"/>
      <c r="E85" s="48"/>
      <c r="F85" s="48"/>
      <c r="G85" s="48"/>
      <c r="H85" s="48"/>
      <c r="I85" s="48"/>
      <c r="J85" s="48"/>
      <c r="K85" s="48"/>
      <c r="L85" s="48"/>
      <c r="M85" s="48"/>
      <c r="N85" s="48"/>
      <c r="O85" s="48"/>
    </row>
    <row r="86" spans="2:15" x14ac:dyDescent="0.3">
      <c r="B86" s="28"/>
      <c r="C86" s="30"/>
      <c r="D86" s="1"/>
      <c r="E86" s="1"/>
      <c r="F86" s="1"/>
      <c r="G86" s="1"/>
      <c r="H86" s="1"/>
      <c r="I86" s="1"/>
      <c r="J86" s="1"/>
      <c r="K86" s="1"/>
      <c r="L86" s="1"/>
      <c r="M86" s="1"/>
      <c r="N86" s="1"/>
      <c r="O86" s="1"/>
    </row>
    <row r="87" spans="2:15" x14ac:dyDescent="0.3">
      <c r="B87" s="28" t="s">
        <v>73</v>
      </c>
      <c r="C87" s="47" t="s">
        <v>77</v>
      </c>
      <c r="D87" s="48"/>
      <c r="E87" s="48"/>
      <c r="F87" s="48"/>
      <c r="G87" s="48"/>
      <c r="H87" s="48"/>
      <c r="I87" s="48"/>
      <c r="J87" s="48"/>
      <c r="K87" s="48"/>
      <c r="L87" s="48"/>
      <c r="M87" s="48"/>
      <c r="N87" s="48"/>
      <c r="O87" s="48"/>
    </row>
    <row r="88" spans="2:15" x14ac:dyDescent="0.3">
      <c r="C88" s="48"/>
      <c r="D88" s="48"/>
      <c r="E88" s="48"/>
      <c r="F88" s="48"/>
      <c r="G88" s="48"/>
      <c r="H88" s="48"/>
      <c r="I88" s="48"/>
      <c r="J88" s="48"/>
      <c r="K88" s="48"/>
      <c r="L88" s="48"/>
      <c r="M88" s="48"/>
      <c r="N88" s="48"/>
      <c r="O88" s="48"/>
    </row>
    <row r="90" spans="2:15" x14ac:dyDescent="0.3">
      <c r="B90" s="28" t="s">
        <v>78</v>
      </c>
      <c r="C90" s="47" t="s">
        <v>81</v>
      </c>
      <c r="D90" s="48"/>
      <c r="E90" s="48"/>
      <c r="F90" s="48"/>
      <c r="G90" s="48"/>
      <c r="H90" s="48"/>
      <c r="I90" s="48"/>
      <c r="J90" s="48"/>
      <c r="K90" s="48"/>
      <c r="L90" s="48"/>
      <c r="M90" s="48"/>
      <c r="N90" s="48"/>
      <c r="O90" s="48"/>
    </row>
    <row r="91" spans="2:15" x14ac:dyDescent="0.3">
      <c r="C91" s="48"/>
      <c r="D91" s="48"/>
      <c r="E91" s="48"/>
      <c r="F91" s="48"/>
      <c r="G91" s="48"/>
      <c r="H91" s="48"/>
      <c r="I91" s="48"/>
      <c r="J91" s="48"/>
      <c r="K91" s="48"/>
      <c r="L91" s="48"/>
      <c r="M91" s="48"/>
      <c r="N91" s="48"/>
      <c r="O91" s="48"/>
    </row>
    <row r="93" spans="2:15" x14ac:dyDescent="0.3">
      <c r="B93" s="28" t="s">
        <v>79</v>
      </c>
      <c r="C93" s="47" t="s">
        <v>82</v>
      </c>
      <c r="D93" s="48"/>
      <c r="E93" s="48"/>
      <c r="F93" s="48"/>
      <c r="G93" s="48"/>
      <c r="H93" s="48"/>
      <c r="I93" s="48"/>
      <c r="J93" s="48"/>
      <c r="K93" s="48"/>
      <c r="L93" s="48"/>
      <c r="M93" s="48"/>
      <c r="N93" s="48"/>
      <c r="O93" s="48"/>
    </row>
    <row r="94" spans="2:15" x14ac:dyDescent="0.3">
      <c r="C94" s="48"/>
      <c r="D94" s="48"/>
      <c r="E94" s="48"/>
      <c r="F94" s="48"/>
      <c r="G94" s="48"/>
      <c r="H94" s="48"/>
      <c r="I94" s="48"/>
      <c r="J94" s="48"/>
      <c r="K94" s="48"/>
      <c r="L94" s="48"/>
      <c r="M94" s="48"/>
      <c r="N94" s="48"/>
      <c r="O94" s="48"/>
    </row>
    <row r="95" spans="2:15" x14ac:dyDescent="0.3">
      <c r="C95" s="48"/>
      <c r="D95" s="48"/>
      <c r="E95" s="48"/>
      <c r="F95" s="48"/>
      <c r="G95" s="48"/>
      <c r="H95" s="48"/>
      <c r="I95" s="48"/>
      <c r="J95" s="48"/>
      <c r="K95" s="48"/>
      <c r="L95" s="48"/>
      <c r="M95" s="48"/>
      <c r="N95" s="48"/>
      <c r="O95" s="48"/>
    </row>
    <row r="97" spans="2:15" x14ac:dyDescent="0.3">
      <c r="B97" s="28" t="s">
        <v>80</v>
      </c>
      <c r="C97" s="47" t="s">
        <v>83</v>
      </c>
      <c r="D97" s="48"/>
      <c r="E97" s="48"/>
      <c r="F97" s="48"/>
      <c r="G97" s="48"/>
      <c r="H97" s="48"/>
      <c r="I97" s="48"/>
      <c r="J97" s="48"/>
      <c r="K97" s="48"/>
      <c r="L97" s="48"/>
      <c r="M97" s="48"/>
      <c r="N97" s="48"/>
      <c r="O97" s="48"/>
    </row>
    <row r="98" spans="2:15" x14ac:dyDescent="0.3">
      <c r="C98" s="48"/>
      <c r="D98" s="48"/>
      <c r="E98" s="48"/>
      <c r="F98" s="48"/>
      <c r="G98" s="48"/>
      <c r="H98" s="48"/>
      <c r="I98" s="48"/>
      <c r="J98" s="48"/>
      <c r="K98" s="48"/>
      <c r="L98" s="48"/>
      <c r="M98" s="48"/>
      <c r="N98" s="48"/>
      <c r="O98" s="48"/>
    </row>
    <row r="99" spans="2:15" x14ac:dyDescent="0.3">
      <c r="C99" s="48"/>
      <c r="D99" s="48"/>
      <c r="E99" s="48"/>
      <c r="F99" s="48"/>
      <c r="G99" s="48"/>
      <c r="H99" s="48"/>
      <c r="I99" s="48"/>
      <c r="J99" s="48"/>
      <c r="K99" s="48"/>
      <c r="L99" s="48"/>
      <c r="M99" s="48"/>
      <c r="N99" s="48"/>
      <c r="O99" s="48"/>
    </row>
    <row r="100" spans="2:15" x14ac:dyDescent="0.3">
      <c r="C100" s="1"/>
      <c r="D100" s="1"/>
      <c r="E100" s="1"/>
      <c r="F100" s="1"/>
      <c r="G100" s="1"/>
      <c r="H100" s="1"/>
      <c r="I100" s="1"/>
      <c r="J100" s="1"/>
      <c r="K100" s="1"/>
      <c r="L100" s="1"/>
      <c r="M100" s="1"/>
      <c r="N100" s="1"/>
      <c r="O100" s="1"/>
    </row>
    <row r="101" spans="2:15" ht="14.5" x14ac:dyDescent="0.3">
      <c r="B101" s="31" t="s">
        <v>109</v>
      </c>
      <c r="L101" s="31" t="s">
        <v>110</v>
      </c>
      <c r="M101" s="139"/>
    </row>
    <row r="102" spans="2:15" ht="13.5" thickBot="1" x14ac:dyDescent="0.35"/>
    <row r="103" spans="2:15" ht="14.5" thickBot="1" x14ac:dyDescent="0.35">
      <c r="B103" s="64" t="s">
        <v>84</v>
      </c>
      <c r="C103" s="65"/>
      <c r="D103" s="74" t="s">
        <v>85</v>
      </c>
      <c r="E103" s="75"/>
      <c r="F103" s="64" t="s">
        <v>86</v>
      </c>
      <c r="G103" s="65"/>
      <c r="H103" s="63" t="s">
        <v>87</v>
      </c>
      <c r="I103" s="63"/>
      <c r="J103" s="70" t="s">
        <v>88</v>
      </c>
      <c r="K103" s="71"/>
      <c r="L103" s="61" t="s">
        <v>90</v>
      </c>
      <c r="M103" s="62"/>
      <c r="N103" s="64" t="s">
        <v>91</v>
      </c>
      <c r="O103" s="65"/>
    </row>
    <row r="104" spans="2:15" ht="29.15" customHeight="1" thickBot="1" x14ac:dyDescent="0.4">
      <c r="B104" s="66"/>
      <c r="C104" s="67"/>
      <c r="D104" s="76"/>
      <c r="E104" s="77"/>
      <c r="F104" s="66"/>
      <c r="G104" s="67"/>
      <c r="H104" s="19" t="s">
        <v>28</v>
      </c>
      <c r="I104" s="17" t="s">
        <v>92</v>
      </c>
      <c r="J104" s="72" t="s">
        <v>89</v>
      </c>
      <c r="K104" s="73"/>
      <c r="L104" s="68"/>
      <c r="M104" s="69"/>
      <c r="N104" s="66"/>
      <c r="O104" s="67"/>
    </row>
    <row r="105" spans="2:15" ht="15" thickBot="1" x14ac:dyDescent="0.35">
      <c r="B105" s="45">
        <v>1</v>
      </c>
      <c r="C105" s="46"/>
      <c r="D105" s="61">
        <v>2</v>
      </c>
      <c r="E105" s="62"/>
      <c r="F105" s="45">
        <v>3</v>
      </c>
      <c r="G105" s="46"/>
      <c r="H105" s="32">
        <v>4</v>
      </c>
      <c r="I105" s="17">
        <v>5</v>
      </c>
      <c r="J105" s="45">
        <v>6</v>
      </c>
      <c r="K105" s="46"/>
      <c r="L105" s="45">
        <v>7</v>
      </c>
      <c r="M105" s="46"/>
      <c r="N105" s="45">
        <v>8</v>
      </c>
      <c r="O105" s="46"/>
    </row>
    <row r="106" spans="2:15" ht="16" thickBot="1" x14ac:dyDescent="0.35">
      <c r="B106" s="53"/>
      <c r="C106" s="54"/>
      <c r="D106" s="55" t="s">
        <v>93</v>
      </c>
      <c r="E106" s="56"/>
      <c r="F106" s="59"/>
      <c r="G106" s="60"/>
      <c r="H106" s="33"/>
      <c r="I106" s="34"/>
      <c r="J106" s="40"/>
      <c r="K106" s="41"/>
      <c r="L106" s="40"/>
      <c r="M106" s="41"/>
      <c r="N106" s="40"/>
      <c r="O106" s="41"/>
    </row>
    <row r="107" spans="2:15" ht="16" thickBot="1" x14ac:dyDescent="0.35">
      <c r="B107" s="45"/>
      <c r="C107" s="46"/>
      <c r="D107" s="57" t="s">
        <v>94</v>
      </c>
      <c r="E107" s="58"/>
      <c r="F107" s="59"/>
      <c r="G107" s="60"/>
      <c r="H107" s="33"/>
      <c r="I107" s="34"/>
      <c r="J107" s="40"/>
      <c r="K107" s="41"/>
      <c r="L107" s="40"/>
      <c r="M107" s="41"/>
      <c r="N107" s="40"/>
      <c r="O107" s="41"/>
    </row>
    <row r="108" spans="2:15" ht="31" customHeight="1" thickBot="1" x14ac:dyDescent="0.35">
      <c r="B108" s="53"/>
      <c r="C108" s="54"/>
      <c r="D108" s="55" t="s">
        <v>95</v>
      </c>
      <c r="E108" s="56"/>
      <c r="F108" s="59"/>
      <c r="G108" s="60"/>
      <c r="H108" s="35"/>
      <c r="I108" s="36"/>
      <c r="J108" s="40"/>
      <c r="K108" s="41"/>
      <c r="L108" s="40"/>
      <c r="M108" s="41"/>
      <c r="N108" s="40"/>
      <c r="O108" s="41"/>
    </row>
    <row r="109" spans="2:15" ht="33.65" customHeight="1" thickBot="1" x14ac:dyDescent="0.35">
      <c r="B109" s="45"/>
      <c r="C109" s="46"/>
      <c r="D109" s="57" t="s">
        <v>96</v>
      </c>
      <c r="E109" s="58"/>
      <c r="F109" s="127">
        <f>SUM(N18:N19)</f>
        <v>1327926</v>
      </c>
      <c r="G109" s="128"/>
      <c r="H109" s="129">
        <f>ROUND(F109*I109,0)</f>
        <v>331982</v>
      </c>
      <c r="I109" s="130">
        <v>0.25</v>
      </c>
      <c r="J109" s="131">
        <f>F109-H109</f>
        <v>995944</v>
      </c>
      <c r="K109" s="132"/>
      <c r="L109" s="131">
        <v>0</v>
      </c>
      <c r="M109" s="132"/>
      <c r="N109" s="131">
        <f>J109</f>
        <v>995944</v>
      </c>
      <c r="O109" s="132"/>
    </row>
    <row r="110" spans="2:15" ht="16.5" customHeight="1" thickBot="1" x14ac:dyDescent="0.35">
      <c r="B110" s="53"/>
      <c r="C110" s="54"/>
      <c r="D110" s="55" t="s">
        <v>97</v>
      </c>
      <c r="E110" s="56"/>
      <c r="F110" s="127"/>
      <c r="G110" s="128"/>
      <c r="H110" s="129"/>
      <c r="I110" s="133"/>
      <c r="J110" s="131"/>
      <c r="K110" s="132"/>
      <c r="L110" s="134"/>
      <c r="M110" s="134"/>
      <c r="N110" s="131"/>
      <c r="O110" s="132"/>
    </row>
    <row r="111" spans="2:15" ht="44.15" customHeight="1" thickBot="1" x14ac:dyDescent="0.35">
      <c r="B111" s="45"/>
      <c r="C111" s="46"/>
      <c r="D111" s="57" t="s">
        <v>98</v>
      </c>
      <c r="E111" s="58"/>
      <c r="F111" s="131">
        <f>SUM(J43:K44)</f>
        <v>523400</v>
      </c>
      <c r="G111" s="132"/>
      <c r="H111" s="129">
        <f>ROUND(F111*50%,0)</f>
        <v>261700</v>
      </c>
      <c r="I111" s="133" t="s">
        <v>101</v>
      </c>
      <c r="J111" s="135">
        <f>F111-H111</f>
        <v>261700</v>
      </c>
      <c r="K111" s="134"/>
      <c r="L111" s="131">
        <v>0</v>
      </c>
      <c r="M111" s="132"/>
      <c r="N111" s="131">
        <f>J111</f>
        <v>261700</v>
      </c>
      <c r="O111" s="136"/>
    </row>
    <row r="112" spans="2:15" ht="16" thickBot="1" x14ac:dyDescent="0.35">
      <c r="B112" s="45"/>
      <c r="C112" s="46"/>
      <c r="D112" s="55" t="s">
        <v>99</v>
      </c>
      <c r="E112" s="56"/>
      <c r="F112" s="131">
        <f>SUM(F106:G111)</f>
        <v>1851326</v>
      </c>
      <c r="G112" s="132"/>
      <c r="H112" s="137">
        <f>SUM(H106:H111)</f>
        <v>593682</v>
      </c>
      <c r="I112" s="138"/>
      <c r="J112" s="131">
        <f>SUM(J106:K111)</f>
        <v>1257644</v>
      </c>
      <c r="K112" s="132"/>
      <c r="L112" s="131">
        <f>SUM(L106:M111)</f>
        <v>0</v>
      </c>
      <c r="M112" s="132"/>
      <c r="N112" s="131">
        <f>SUM(N106:O111)</f>
        <v>1257644</v>
      </c>
      <c r="O112" s="132"/>
    </row>
    <row r="115" spans="4:10" ht="15.5" x14ac:dyDescent="0.3">
      <c r="D115" s="3" t="s">
        <v>111</v>
      </c>
      <c r="J115" s="3" t="s">
        <v>100</v>
      </c>
    </row>
    <row r="116" spans="4:10" ht="15.5" x14ac:dyDescent="0.3">
      <c r="D116" s="3" t="s">
        <v>112</v>
      </c>
    </row>
  </sheetData>
  <mergeCells count="153">
    <mergeCell ref="A8:A9"/>
    <mergeCell ref="J16:J17"/>
    <mergeCell ref="K16:K17"/>
    <mergeCell ref="L16:L17"/>
    <mergeCell ref="M16:M17"/>
    <mergeCell ref="N16:N17"/>
    <mergeCell ref="M10:M11"/>
    <mergeCell ref="N10:N11"/>
    <mergeCell ref="B16:B17"/>
    <mergeCell ref="C16:C17"/>
    <mergeCell ref="D16:D17"/>
    <mergeCell ref="E16:E17"/>
    <mergeCell ref="F16:F17"/>
    <mergeCell ref="G16:G17"/>
    <mergeCell ref="H16:H17"/>
    <mergeCell ref="I16:I17"/>
    <mergeCell ref="G10:G11"/>
    <mergeCell ref="H10:H11"/>
    <mergeCell ref="I10:I11"/>
    <mergeCell ref="J10:J11"/>
    <mergeCell ref="K10:K11"/>
    <mergeCell ref="L10:L11"/>
    <mergeCell ref="B8:D8"/>
    <mergeCell ref="J42:K42"/>
    <mergeCell ref="B41:G42"/>
    <mergeCell ref="B43:G43"/>
    <mergeCell ref="H43:I43"/>
    <mergeCell ref="J43:K43"/>
    <mergeCell ref="L43:M43"/>
    <mergeCell ref="B32:G32"/>
    <mergeCell ref="B30:G31"/>
    <mergeCell ref="L41:O41"/>
    <mergeCell ref="H41:K41"/>
    <mergeCell ref="N42:O42"/>
    <mergeCell ref="L42:M42"/>
    <mergeCell ref="H42:I42"/>
    <mergeCell ref="N30:O30"/>
    <mergeCell ref="B35:G35"/>
    <mergeCell ref="B34:G34"/>
    <mergeCell ref="B33:G33"/>
    <mergeCell ref="H30:I30"/>
    <mergeCell ref="J30:K30"/>
    <mergeCell ref="L30:M30"/>
    <mergeCell ref="L46:O46"/>
    <mergeCell ref="F46:H46"/>
    <mergeCell ref="I46:K46"/>
    <mergeCell ref="B46:E46"/>
    <mergeCell ref="F47:H47"/>
    <mergeCell ref="I47:K47"/>
    <mergeCell ref="L47:O47"/>
    <mergeCell ref="N43:O43"/>
    <mergeCell ref="B44:G44"/>
    <mergeCell ref="H44:I44"/>
    <mergeCell ref="J44:K44"/>
    <mergeCell ref="L44:M44"/>
    <mergeCell ref="N44:O44"/>
    <mergeCell ref="B47:E47"/>
    <mergeCell ref="B48:E48"/>
    <mergeCell ref="B49:E49"/>
    <mergeCell ref="B50:E50"/>
    <mergeCell ref="F50:H50"/>
    <mergeCell ref="I50:K50"/>
    <mergeCell ref="L50:O50"/>
    <mergeCell ref="F51:H51"/>
    <mergeCell ref="I51:K51"/>
    <mergeCell ref="L51:O51"/>
    <mergeCell ref="F48:H48"/>
    <mergeCell ref="I48:K48"/>
    <mergeCell ref="L48:O48"/>
    <mergeCell ref="F49:H49"/>
    <mergeCell ref="I49:K49"/>
    <mergeCell ref="L49:O49"/>
    <mergeCell ref="B69:C69"/>
    <mergeCell ref="B70:D70"/>
    <mergeCell ref="C72:O74"/>
    <mergeCell ref="C76:O77"/>
    <mergeCell ref="C55:O58"/>
    <mergeCell ref="C59:O59"/>
    <mergeCell ref="C60:O60"/>
    <mergeCell ref="C63:O63"/>
    <mergeCell ref="C61:O62"/>
    <mergeCell ref="C64:O67"/>
    <mergeCell ref="H103:I103"/>
    <mergeCell ref="N103:O104"/>
    <mergeCell ref="L103:M104"/>
    <mergeCell ref="C79:O80"/>
    <mergeCell ref="C82:O83"/>
    <mergeCell ref="C85:O85"/>
    <mergeCell ref="C87:O88"/>
    <mergeCell ref="C90:O91"/>
    <mergeCell ref="C93:O95"/>
    <mergeCell ref="J103:K103"/>
    <mergeCell ref="J104:K104"/>
    <mergeCell ref="F103:G104"/>
    <mergeCell ref="D103:E104"/>
    <mergeCell ref="B103:C104"/>
    <mergeCell ref="D105:E105"/>
    <mergeCell ref="F105:G105"/>
    <mergeCell ref="J105:K105"/>
    <mergeCell ref="L105:M105"/>
    <mergeCell ref="D106:E106"/>
    <mergeCell ref="F106:G106"/>
    <mergeCell ref="D107:E107"/>
    <mergeCell ref="L106:M106"/>
    <mergeCell ref="L107:M107"/>
    <mergeCell ref="B112:C112"/>
    <mergeCell ref="F10:F11"/>
    <mergeCell ref="E10:E11"/>
    <mergeCell ref="D10:D11"/>
    <mergeCell ref="C10:C11"/>
    <mergeCell ref="B10:B11"/>
    <mergeCell ref="B106:C106"/>
    <mergeCell ref="B107:C107"/>
    <mergeCell ref="B108:C108"/>
    <mergeCell ref="B109:C109"/>
    <mergeCell ref="B110:C110"/>
    <mergeCell ref="B111:C111"/>
    <mergeCell ref="D108:E108"/>
    <mergeCell ref="D109:E109"/>
    <mergeCell ref="D110:E110"/>
    <mergeCell ref="D111:E111"/>
    <mergeCell ref="D112:E112"/>
    <mergeCell ref="F107:G107"/>
    <mergeCell ref="F108:G108"/>
    <mergeCell ref="F109:G109"/>
    <mergeCell ref="F110:G110"/>
    <mergeCell ref="F111:G111"/>
    <mergeCell ref="F112:G112"/>
    <mergeCell ref="B105:C105"/>
    <mergeCell ref="L112:M112"/>
    <mergeCell ref="N112:O112"/>
    <mergeCell ref="J110:K110"/>
    <mergeCell ref="L108:M108"/>
    <mergeCell ref="N108:O108"/>
    <mergeCell ref="L109:M109"/>
    <mergeCell ref="K8:N8"/>
    <mergeCell ref="H8:J8"/>
    <mergeCell ref="E8:G8"/>
    <mergeCell ref="N109:O109"/>
    <mergeCell ref="L110:M110"/>
    <mergeCell ref="N110:O110"/>
    <mergeCell ref="L111:M111"/>
    <mergeCell ref="N111:O111"/>
    <mergeCell ref="J106:K106"/>
    <mergeCell ref="J107:K107"/>
    <mergeCell ref="J108:K108"/>
    <mergeCell ref="J109:K109"/>
    <mergeCell ref="J111:K111"/>
    <mergeCell ref="J112:K112"/>
    <mergeCell ref="N105:O105"/>
    <mergeCell ref="N106:O106"/>
    <mergeCell ref="N107:O107"/>
    <mergeCell ref="C97:O99"/>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Stock Statement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SBI Stock Statement blank format</dc:title>
  <dc:creator>PC</dc:creator>
  <cp:lastModifiedBy>hp</cp:lastModifiedBy>
  <cp:lastPrinted>2026-08-10T18:57:48Z</cp:lastPrinted>
  <dcterms:created xsi:type="dcterms:W3CDTF">2026-05-21T09:29:31Z</dcterms:created>
  <dcterms:modified xsi:type="dcterms:W3CDTF">2026-09-04T12:03:28Z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2026-05-21T00:00:00Z</vt:filetime>
  </property>
  <property fmtid="{D5CDD505-2E9C-101B-9397-08002B2CF9AE}" pid="4" name="LastSaved">
    <vt:filetime>2026-05-21T00:00:00Z</vt:filetime>
  </property>
  <property fmtid="{D5CDD505-2E9C-101B-9397-08002B2CF9AE}" pid="5" name="Producer">
    <vt:lpwstr>Microsoft: Print To PDF</vt:lpwstr>
  </property>
</Properties>
</file>